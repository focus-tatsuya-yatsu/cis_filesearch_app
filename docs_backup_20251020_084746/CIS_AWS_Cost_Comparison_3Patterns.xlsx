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Pattern1_Details" sheetId="2" state="visible" r:id="rId2"/>
    <sheet name="Pattern2_Details" sheetId="3" state="visible" r:id="rId3"/>
    <sheet name="Pattern3_Details" sheetId="4" state="visible" r:id="rId4"/>
    <sheet name="Comparison" sheetId="5" state="visible" r:id="rId5"/>
    <sheet name="Scaling" sheetId="6" state="visible" r:id="rId6"/>
    <sheet name="Cost_Optimiz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32F3E"/>
      <sz val="16"/>
    </font>
    <font>
      <name val="Arial"/>
      <i val="1"/>
      <sz val="10"/>
    </font>
    <font>
      <b val="1"/>
      <color rgb="00FFFFFF"/>
    </font>
    <font>
      <b val="1"/>
      <color rgb="00232F3E"/>
      <sz val="14"/>
    </font>
    <font>
      <b val="1"/>
      <color rgb="00232F3E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32F3E"/>
        <bgColor rgb="00232F3E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月額コスト比較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'サマリー'!B4</f>
            </strRef>
          </tx>
          <spPr>
            <a:ln>
              <a:prstDash val="solid"/>
            </a:ln>
          </spPr>
          <cat>
            <numRef>
              <f>'サマリー'!$A$5:$A$7</f>
            </numRef>
          </cat>
          <val>
            <numRef>
              <f>'サマリー'!$B$5:$B$7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パターン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コスト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3年間TCO比較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'サマリー'!F4</f>
            </strRef>
          </tx>
          <spPr>
            <a:ln>
              <a:prstDash val="solid"/>
            </a:ln>
          </spPr>
          <cat>
            <numRef>
              <f>'サマリー'!$A$5:$A$7</f>
            </numRef>
          </cat>
          <val>
            <numRef>
              <f>'サマリー'!$F$5:$F$7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パターン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コスト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Pattern 1: コスト最優先 コスト構成比</a:t>
            </a:r>
          </a:p>
        </rich>
      </tx>
    </title>
    <plotArea>
      <pieChart>
        <varyColors val="1"/>
        <ser>
          <idx val="0"/>
          <order val="0"/>
          <tx>
            <strRef>
              <f>'Pattern1_Details'!D4</f>
            </strRef>
          </tx>
          <spPr>
            <a:ln>
              <a:prstDash val="solid"/>
            </a:ln>
          </spPr>
          <cat>
            <numRef>
              <f>'Pattern1_Details'!$B$5:$B$14</f>
            </numRef>
          </cat>
          <val>
            <numRef>
              <f>'Pattern1_Details'!$D$5:$D$14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Pattern 2: 高可用性+セキュリティ コスト構成比</a:t>
            </a:r>
          </a:p>
        </rich>
      </tx>
    </title>
    <plotArea>
      <pieChart>
        <varyColors val="1"/>
        <ser>
          <idx val="0"/>
          <order val="0"/>
          <tx>
            <strRef>
              <f>'Pattern2_Details'!D4</f>
            </strRef>
          </tx>
          <spPr>
            <a:ln>
              <a:prstDash val="solid"/>
            </a:ln>
          </spPr>
          <cat>
            <numRef>
              <f>'Pattern2_Details'!$B$5:$B$23</f>
            </numRef>
          </cat>
          <val>
            <numRef>
              <f>'Pattern2_Details'!$D$5:$D$23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Pattern 3: 月次バッチ (推奨) コスト構成比</a:t>
            </a:r>
          </a:p>
        </rich>
      </tx>
    </title>
    <plotArea>
      <pieChart>
        <varyColors val="1"/>
        <ser>
          <idx val="0"/>
          <order val="0"/>
          <tx>
            <strRef>
              <f>'Pattern3_Details'!D4</f>
            </strRef>
          </tx>
          <spPr>
            <a:ln>
              <a:prstDash val="solid"/>
            </a:ln>
          </spPr>
          <cat>
            <numRef>
              <f>'Pattern3_Details'!$B$5:$B$14</f>
            </numRef>
          </cat>
          <val>
            <numRef>
              <f>'Pattern3_Details'!$D$5:$D$14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ユーザー数増加時のコスト推移</a:t>
            </a:r>
          </a:p>
        </rich>
      </tx>
    </title>
    <plotArea>
      <lineChart>
        <grouping val="standard"/>
        <ser>
          <idx val="0"/>
          <order val="0"/>
          <tx>
            <strRef>
              <f>'Scaling'!H4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'Scaling'!$B$5:$B$8</f>
            </numRef>
          </cat>
          <val>
            <numRef>
              <f>'Scaling'!$H$5:$H$8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ユーザー数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月額コスト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CIS ファイル検索システム - AWS コスト比較サマリー</t>
        </is>
      </c>
    </row>
    <row r="2">
      <c r="A2" s="2" t="inlineStr">
        <is>
          <t>作成日: 2025年10月18日 | 為替レート: ¥150/USD</t>
        </is>
      </c>
    </row>
    <row r="4">
      <c r="A4" s="3" t="inlineStr">
        <is>
          <t>パターン</t>
        </is>
      </c>
      <c r="B4" s="3" t="inlineStr">
        <is>
          <t>月額 (USD)</t>
        </is>
      </c>
      <c r="C4" s="3" t="inlineStr">
        <is>
          <t>月額 (JPY)</t>
        </is>
      </c>
      <c r="D4" s="3" t="inlineStr">
        <is>
          <t>年額 (USD)</t>
        </is>
      </c>
      <c r="E4" s="3" t="inlineStr">
        <is>
          <t>年額 (JPY)</t>
        </is>
      </c>
      <c r="F4" s="3" t="inlineStr">
        <is>
          <t>3年TCO (USD)</t>
        </is>
      </c>
      <c r="G4" s="3" t="inlineStr">
        <is>
          <t>3年TCO (JPY)</t>
        </is>
      </c>
      <c r="H4" s="3" t="inlineStr">
        <is>
          <t>削減率 vs P2</t>
        </is>
      </c>
    </row>
    <row r="5">
      <c r="A5" s="4" t="inlineStr">
        <is>
          <t>Pattern 1: コスト最優先</t>
        </is>
      </c>
      <c r="B5" s="5" t="n">
        <v>90.40000000000001</v>
      </c>
      <c r="C5" s="5" t="n">
        <v>13560</v>
      </c>
      <c r="D5" s="5" t="n">
        <v>1084.8</v>
      </c>
      <c r="E5" s="5" t="n">
        <v>162720</v>
      </c>
      <c r="F5" s="5" t="n">
        <v>3254.4</v>
      </c>
      <c r="G5" s="5" t="n">
        <v>488160</v>
      </c>
      <c r="H5" s="6" t="inlineStr">
        <is>
          <t>-75%</t>
        </is>
      </c>
    </row>
    <row r="6">
      <c r="A6" s="7" t="inlineStr">
        <is>
          <t>Pattern 2: 高可用性+セキュリティ</t>
        </is>
      </c>
      <c r="B6" s="5" t="n">
        <v>1105.5</v>
      </c>
      <c r="C6" s="5" t="n">
        <v>165825</v>
      </c>
      <c r="D6" s="5" t="n">
        <v>13266</v>
      </c>
      <c r="E6" s="5" t="n">
        <v>1989900</v>
      </c>
      <c r="F6" s="5" t="n">
        <v>39798</v>
      </c>
      <c r="G6" s="5" t="n">
        <v>5969700</v>
      </c>
      <c r="H6" s="6" t="inlineStr">
        <is>
          <t>0%</t>
        </is>
      </c>
    </row>
    <row r="7">
      <c r="A7" s="8" t="inlineStr">
        <is>
          <t>Pattern 3: 月次バッチ (推奨)</t>
        </is>
      </c>
      <c r="B7" s="5" t="n">
        <v>47.24</v>
      </c>
      <c r="C7" s="5" t="n">
        <v>7086</v>
      </c>
      <c r="D7" s="5" t="n">
        <v>566.88</v>
      </c>
      <c r="E7" s="5" t="n">
        <v>85032</v>
      </c>
      <c r="F7" s="5" t="n">
        <v>1810.38</v>
      </c>
      <c r="G7" s="5" t="n">
        <v>271557</v>
      </c>
      <c r="H7" s="6" t="inlineStr">
        <is>
          <t>-96%</t>
        </is>
      </c>
    </row>
    <row r="26">
      <c r="A26" s="9" t="inlineStr">
        <is>
          <t>推奨パターン選択フローチャート</t>
        </is>
      </c>
    </row>
    <row r="27">
      <c r="A27" s="10" t="inlineStr">
        <is>
          <t>条件</t>
        </is>
      </c>
      <c r="B27" s="10" t="inlineStr">
        <is>
          <t>推奨パターン</t>
        </is>
      </c>
      <c r="C27" s="10" t="inlineStr">
        <is>
          <t>理由</t>
        </is>
      </c>
    </row>
    <row r="28">
      <c r="A28" s="11" t="inlineStr">
        <is>
          <t>過去データのみ検索（新データ不要）</t>
        </is>
      </c>
      <c r="B28" s="11" t="inlineStr">
        <is>
          <t>Pattern 3</t>
        </is>
      </c>
      <c r="C28" s="11" t="inlineStr">
        <is>
          <t>最高のコスト効率、VPN97%削減、100万ファイル対応</t>
        </is>
      </c>
    </row>
    <row r="29">
      <c r="A29" s="11" t="inlineStr">
        <is>
          <t>少量ファイル・低頻度検索</t>
        </is>
      </c>
      <c r="B29" s="11" t="inlineStr">
        <is>
          <t>Pattern 1</t>
        </is>
      </c>
      <c r="C29" s="11" t="inlineStr">
        <is>
          <t>基本機能のみで十分、初期投資最小化</t>
        </is>
      </c>
    </row>
    <row r="30">
      <c r="A30" s="11" t="inlineStr">
        <is>
          <t>本格運用・高可用性必須</t>
        </is>
      </c>
      <c r="B30" s="11" t="inlineStr">
        <is>
          <t>Pattern 2</t>
        </is>
      </c>
      <c r="C30" s="11" t="inlineStr">
        <is>
          <t>Multi-AZ、リアルタイム同期、AI機能フル</t>
        </is>
      </c>
    </row>
  </sheetData>
  <mergeCells count="3">
    <mergeCell ref="A26:H26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Pattern 1: コスト最優先 - 詳細コスト内訳</t>
        </is>
      </c>
    </row>
    <row r="2">
      <c r="A2" s="2" t="inlineStr">
        <is>
          <t>月額コスト: $90.40 (¥13,560)</t>
        </is>
      </c>
    </row>
    <row r="4">
      <c r="A4" s="3" t="inlineStr">
        <is>
          <t>カテゴリ</t>
        </is>
      </c>
      <c r="B4" s="3" t="inlineStr">
        <is>
          <t>サービス</t>
        </is>
      </c>
      <c r="C4" s="3" t="inlineStr">
        <is>
          <t>詳細</t>
        </is>
      </c>
      <c r="D4" s="3" t="inlineStr">
        <is>
          <t>月額 (USD)</t>
        </is>
      </c>
      <c r="E4" s="3" t="inlineStr">
        <is>
          <t>月額 (JPY)</t>
        </is>
      </c>
      <c r="F4" s="3" t="inlineStr">
        <is>
          <t>構成比</t>
        </is>
      </c>
    </row>
    <row r="5">
      <c r="A5" s="12" t="inlineStr">
        <is>
          <t>データベース</t>
        </is>
      </c>
      <c r="B5" s="12" t="inlineStr">
        <is>
          <t>RDS (db.t4g.micro)</t>
        </is>
      </c>
      <c r="C5" s="12" t="inlineStr">
        <is>
          <t>Single-AZ, 20GB gp2</t>
        </is>
      </c>
      <c r="D5" s="13" t="n">
        <v>12</v>
      </c>
      <c r="E5" s="13" t="n">
        <v>1800</v>
      </c>
      <c r="F5" s="12" t="inlineStr">
        <is>
          <t>13.3%</t>
        </is>
      </c>
    </row>
    <row r="6">
      <c r="A6" s="12" t="inlineStr">
        <is>
          <t>検索エンジン</t>
        </is>
      </c>
      <c r="B6" s="12" t="inlineStr">
        <is>
          <t>OpenSearch (t3.small.search)</t>
        </is>
      </c>
      <c r="C6" s="12" t="inlineStr">
        <is>
          <t>1ノード, 10GB</t>
        </is>
      </c>
      <c r="D6" s="13" t="n">
        <v>25</v>
      </c>
      <c r="E6" s="13" t="n">
        <v>3750</v>
      </c>
      <c r="F6" s="12" t="inlineStr">
        <is>
          <t>27.7%</t>
        </is>
      </c>
    </row>
    <row r="7">
      <c r="A7" s="12" t="inlineStr">
        <is>
          <t>コンピューティング</t>
        </is>
      </c>
      <c r="B7" s="12" t="inlineStr">
        <is>
          <t>Lambda</t>
        </is>
      </c>
      <c r="C7" s="12" t="inlineStr">
        <is>
          <t>無料枠内</t>
        </is>
      </c>
      <c r="D7" s="13" t="n">
        <v>0</v>
      </c>
      <c r="E7" s="13" t="n">
        <v>0</v>
      </c>
      <c r="F7" s="12" t="inlineStr">
        <is>
          <t>0.0%</t>
        </is>
      </c>
    </row>
    <row r="8">
      <c r="A8" s="12" t="inlineStr">
        <is>
          <t>データベース</t>
        </is>
      </c>
      <c r="B8" s="12" t="inlineStr">
        <is>
          <t>DynamoDB</t>
        </is>
      </c>
      <c r="C8" s="12" t="inlineStr">
        <is>
          <t>On-Demand, 250MB</t>
        </is>
      </c>
      <c r="D8" s="13" t="n">
        <v>2</v>
      </c>
      <c r="E8" s="13" t="n">
        <v>300</v>
      </c>
      <c r="F8" s="12" t="inlineStr">
        <is>
          <t>2.2%</t>
        </is>
      </c>
    </row>
    <row r="9">
      <c r="A9" s="12" t="inlineStr">
        <is>
          <t>ストレージ</t>
        </is>
      </c>
      <c r="B9" s="12" t="inlineStr">
        <is>
          <t>S3 STANDARD</t>
        </is>
      </c>
      <c r="C9" s="12" t="inlineStr">
        <is>
          <t>50GB</t>
        </is>
      </c>
      <c r="D9" s="13" t="n">
        <v>1.15</v>
      </c>
      <c r="E9" s="13" t="n">
        <v>173</v>
      </c>
      <c r="F9" s="12" t="inlineStr">
        <is>
          <t>1.3%</t>
        </is>
      </c>
    </row>
    <row r="10">
      <c r="A10" s="12" t="inlineStr">
        <is>
          <t>監視</t>
        </is>
      </c>
      <c r="B10" s="12" t="inlineStr">
        <is>
          <t>CloudWatch Logs</t>
        </is>
      </c>
      <c r="C10" s="12" t="inlineStr">
        <is>
          <t>10GB</t>
        </is>
      </c>
      <c r="D10" s="13" t="n">
        <v>5</v>
      </c>
      <c r="E10" s="13" t="n">
        <v>750</v>
      </c>
      <c r="F10" s="12" t="inlineStr">
        <is>
          <t>5.5%</t>
        </is>
      </c>
    </row>
    <row r="11">
      <c r="A11" s="12" t="inlineStr">
        <is>
          <t>API</t>
        </is>
      </c>
      <c r="B11" s="12" t="inlineStr">
        <is>
          <t>API Gateway</t>
        </is>
      </c>
      <c r="C11" s="12" t="inlineStr">
        <is>
          <t>1.5M リクエスト</t>
        </is>
      </c>
      <c r="D11" s="13" t="n">
        <v>5.25</v>
      </c>
      <c r="E11" s="13" t="n">
        <v>788</v>
      </c>
      <c r="F11" s="12" t="inlineStr">
        <is>
          <t>5.8%</t>
        </is>
      </c>
    </row>
    <row r="12">
      <c r="A12" s="12" t="inlineStr">
        <is>
          <t>認証</t>
        </is>
      </c>
      <c r="B12" s="12" t="inlineStr">
        <is>
          <t>Cognito</t>
        </is>
      </c>
      <c r="C12" s="12" t="inlineStr">
        <is>
          <t>無料枠内</t>
        </is>
      </c>
      <c r="D12" s="13" t="n">
        <v>0</v>
      </c>
      <c r="E12" s="13" t="n">
        <v>0</v>
      </c>
      <c r="F12" s="12" t="inlineStr">
        <is>
          <t>0.0%</t>
        </is>
      </c>
    </row>
    <row r="13">
      <c r="A13" s="12" t="inlineStr">
        <is>
          <t>ネットワーク</t>
        </is>
      </c>
      <c r="B13" s="12" t="inlineStr">
        <is>
          <t>NAT Gateway</t>
        </is>
      </c>
      <c r="C13" s="12" t="inlineStr">
        <is>
          <t>Single-AZ, 50GB</t>
        </is>
      </c>
      <c r="D13" s="13" t="n">
        <v>35</v>
      </c>
      <c r="E13" s="13" t="n">
        <v>5250</v>
      </c>
      <c r="F13" s="12" t="inlineStr">
        <is>
          <t>38.7%</t>
        </is>
      </c>
    </row>
    <row r="14">
      <c r="A14" s="12" t="inlineStr">
        <is>
          <t>データ転送</t>
        </is>
      </c>
      <c r="B14" s="12" t="inlineStr">
        <is>
          <t>Data Transfer</t>
        </is>
      </c>
      <c r="C14" s="12" t="inlineStr">
        <is>
          <t>50GB</t>
        </is>
      </c>
      <c r="D14" s="13" t="n">
        <v>5</v>
      </c>
      <c r="E14" s="13" t="n">
        <v>750</v>
      </c>
      <c r="F14" s="12" t="inlineStr">
        <is>
          <t>5.5%</t>
        </is>
      </c>
    </row>
    <row r="17">
      <c r="A17" s="14" t="inlineStr">
        <is>
          <t>コストサマリー</t>
        </is>
      </c>
    </row>
    <row r="18">
      <c r="A18" s="15" t="inlineStr">
        <is>
          <t>月額コスト (USD)</t>
        </is>
      </c>
      <c r="B18" s="5" t="inlineStr">
        <is>
          <t>$90.40</t>
        </is>
      </c>
    </row>
    <row r="19">
      <c r="A19" s="15" t="inlineStr">
        <is>
          <t>月額コスト (JPY)</t>
        </is>
      </c>
      <c r="B19" s="5" t="inlineStr">
        <is>
          <t>¥13,560</t>
        </is>
      </c>
    </row>
    <row r="20">
      <c r="A20" s="15" t="inlineStr">
        <is>
          <t>年額コスト (USD)</t>
        </is>
      </c>
      <c r="B20" s="5" t="inlineStr">
        <is>
          <t>$1084.80</t>
        </is>
      </c>
    </row>
    <row r="21">
      <c r="A21" s="15" t="inlineStr">
        <is>
          <t>年額コスト (JPY)</t>
        </is>
      </c>
      <c r="B21" s="5" t="inlineStr">
        <is>
          <t>¥162,720</t>
        </is>
      </c>
    </row>
    <row r="22">
      <c r="A22" s="15" t="inlineStr">
        <is>
          <t>3年TCO (USD)</t>
        </is>
      </c>
      <c r="B22" s="5" t="inlineStr">
        <is>
          <t>$3254.40</t>
        </is>
      </c>
    </row>
    <row r="23">
      <c r="A23" s="15" t="inlineStr">
        <is>
          <t>3年TCO (JPY)</t>
        </is>
      </c>
      <c r="B23" s="5" t="inlineStr">
        <is>
          <t>¥488,160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Pattern 2: 高可用性+セキュリティ - 詳細コスト内訳</t>
        </is>
      </c>
    </row>
    <row r="2">
      <c r="A2" s="2" t="inlineStr">
        <is>
          <t>月額コスト: $1105.50 (¥165,825)</t>
        </is>
      </c>
    </row>
    <row r="4">
      <c r="A4" s="3" t="inlineStr">
        <is>
          <t>カテゴリ</t>
        </is>
      </c>
      <c r="B4" s="3" t="inlineStr">
        <is>
          <t>サービス</t>
        </is>
      </c>
      <c r="C4" s="3" t="inlineStr">
        <is>
          <t>詳細</t>
        </is>
      </c>
      <c r="D4" s="3" t="inlineStr">
        <is>
          <t>月額 (USD)</t>
        </is>
      </c>
      <c r="E4" s="3" t="inlineStr">
        <is>
          <t>月額 (JPY)</t>
        </is>
      </c>
      <c r="F4" s="3" t="inlineStr">
        <is>
          <t>構成比</t>
        </is>
      </c>
    </row>
    <row r="5">
      <c r="A5" s="12" t="inlineStr">
        <is>
          <t>データベース</t>
        </is>
      </c>
      <c r="B5" s="12" t="inlineStr">
        <is>
          <t>RDS (db.t4g.medium)</t>
        </is>
      </c>
      <c r="C5" s="12" t="inlineStr">
        <is>
          <t>Multi-AZ, 100GB gp3</t>
        </is>
      </c>
      <c r="D5" s="13" t="n">
        <v>120</v>
      </c>
      <c r="E5" s="13" t="n">
        <v>18000</v>
      </c>
      <c r="F5" s="12" t="inlineStr">
        <is>
          <t>10.9%</t>
        </is>
      </c>
    </row>
    <row r="6">
      <c r="A6" s="12" t="inlineStr">
        <is>
          <t>データベース</t>
        </is>
      </c>
      <c r="B6" s="12" t="inlineStr">
        <is>
          <t>RDS Proxy</t>
        </is>
      </c>
      <c r="C6" s="12" t="inlineStr">
        <is>
          <t>接続プーリング</t>
        </is>
      </c>
      <c r="D6" s="13" t="n">
        <v>15</v>
      </c>
      <c r="E6" s="13" t="n">
        <v>2250</v>
      </c>
      <c r="F6" s="12" t="inlineStr">
        <is>
          <t>1.4%</t>
        </is>
      </c>
    </row>
    <row r="7">
      <c r="A7" s="12" t="inlineStr">
        <is>
          <t>検索エンジン</t>
        </is>
      </c>
      <c r="B7" s="12" t="inlineStr">
        <is>
          <t>OpenSearch (r6g.large×3)</t>
        </is>
      </c>
      <c r="C7" s="12" t="inlineStr">
        <is>
          <t>3-AZ, マスターノード</t>
        </is>
      </c>
      <c r="D7" s="13" t="n">
        <v>450</v>
      </c>
      <c r="E7" s="13" t="n">
        <v>67500</v>
      </c>
      <c r="F7" s="12" t="inlineStr">
        <is>
          <t>40.7%</t>
        </is>
      </c>
    </row>
    <row r="8">
      <c r="A8" s="12" t="inlineStr">
        <is>
          <t>コンピューティング</t>
        </is>
      </c>
      <c r="B8" s="12" t="inlineStr">
        <is>
          <t>Lambda (実行時間)</t>
        </is>
      </c>
      <c r="C8" s="12" t="inlineStr">
        <is>
          <t>4M GB-秒</t>
        </is>
      </c>
      <c r="D8" s="13" t="n">
        <v>85</v>
      </c>
      <c r="E8" s="13" t="n">
        <v>12750</v>
      </c>
      <c r="F8" s="12" t="inlineStr">
        <is>
          <t>7.7%</t>
        </is>
      </c>
    </row>
    <row r="9">
      <c r="A9" s="12" t="inlineStr">
        <is>
          <t>コンピューティング</t>
        </is>
      </c>
      <c r="B9" s="12" t="inlineStr">
        <is>
          <t>Lambda (Provisioned)</t>
        </is>
      </c>
      <c r="C9" s="12" t="inlineStr">
        <is>
          <t>3 PC-時間</t>
        </is>
      </c>
      <c r="D9" s="13" t="n">
        <v>45</v>
      </c>
      <c r="E9" s="13" t="n">
        <v>6750</v>
      </c>
      <c r="F9" s="12" t="inlineStr">
        <is>
          <t>4.1%</t>
        </is>
      </c>
    </row>
    <row r="10">
      <c r="A10" s="12" t="inlineStr">
        <is>
          <t>データベース</t>
        </is>
      </c>
      <c r="B10" s="12" t="inlineStr">
        <is>
          <t>DynamoDB</t>
        </is>
      </c>
      <c r="C10" s="12" t="inlineStr">
        <is>
          <t>Provisioned + On-Demand</t>
        </is>
      </c>
      <c r="D10" s="13" t="n">
        <v>35</v>
      </c>
      <c r="E10" s="13" t="n">
        <v>5250</v>
      </c>
      <c r="F10" s="12" t="inlineStr">
        <is>
          <t>3.2%</t>
        </is>
      </c>
    </row>
    <row r="11">
      <c r="A11" s="12" t="inlineStr">
        <is>
          <t>ストレージ</t>
        </is>
      </c>
      <c r="B11" s="12" t="inlineStr">
        <is>
          <t>S3 (Multi-Tier)</t>
        </is>
      </c>
      <c r="C11" s="12" t="inlineStr">
        <is>
          <t>500GB</t>
        </is>
      </c>
      <c r="D11" s="13" t="n">
        <v>15</v>
      </c>
      <c r="E11" s="13" t="n">
        <v>2250</v>
      </c>
      <c r="F11" s="12" t="inlineStr">
        <is>
          <t>1.4%</t>
        </is>
      </c>
    </row>
    <row r="12">
      <c r="A12" s="12" t="inlineStr">
        <is>
          <t>ストレージ</t>
        </is>
      </c>
      <c r="B12" s="12" t="inlineStr">
        <is>
          <t>S3 CRR</t>
        </is>
      </c>
      <c r="C12" s="12" t="inlineStr">
        <is>
          <t>Cross-Region Replication</t>
        </is>
      </c>
      <c r="D12" s="13" t="n">
        <v>10</v>
      </c>
      <c r="E12" s="13" t="n">
        <v>1500</v>
      </c>
      <c r="F12" s="12" t="inlineStr">
        <is>
          <t>0.9%</t>
        </is>
      </c>
    </row>
    <row r="13">
      <c r="A13" s="12" t="inlineStr">
        <is>
          <t>監視</t>
        </is>
      </c>
      <c r="B13" s="12" t="inlineStr">
        <is>
          <t>CloudWatch</t>
        </is>
      </c>
      <c r="C13" s="12" t="inlineStr">
        <is>
          <t>Logs + Metrics + Alarms</t>
        </is>
      </c>
      <c r="D13" s="13" t="n">
        <v>105</v>
      </c>
      <c r="E13" s="13" t="n">
        <v>15750</v>
      </c>
      <c r="F13" s="12" t="inlineStr">
        <is>
          <t>9.5%</t>
        </is>
      </c>
    </row>
    <row r="14">
      <c r="A14" s="12" t="inlineStr">
        <is>
          <t>API</t>
        </is>
      </c>
      <c r="B14" s="12" t="inlineStr">
        <is>
          <t>API Gateway</t>
        </is>
      </c>
      <c r="C14" s="12" t="inlineStr">
        <is>
          <t>2.5M リクエスト + Cache</t>
        </is>
      </c>
      <c r="D14" s="13" t="n">
        <v>22</v>
      </c>
      <c r="E14" s="13" t="n">
        <v>3300</v>
      </c>
      <c r="F14" s="12" t="inlineStr">
        <is>
          <t>2.0%</t>
        </is>
      </c>
    </row>
    <row r="15">
      <c r="A15" s="12" t="inlineStr">
        <is>
          <t>認証</t>
        </is>
      </c>
      <c r="B15" s="12" t="inlineStr">
        <is>
          <t>Cognito Advanced</t>
        </is>
      </c>
      <c r="C15" s="12" t="inlineStr">
        <is>
          <t>高度なセキュリティ</t>
        </is>
      </c>
      <c r="D15" s="13" t="n">
        <v>2.5</v>
      </c>
      <c r="E15" s="13" t="n">
        <v>375</v>
      </c>
      <c r="F15" s="12" t="inlineStr">
        <is>
          <t>0.2%</t>
        </is>
      </c>
    </row>
    <row r="16">
      <c r="A16" s="12" t="inlineStr">
        <is>
          <t>CDN</t>
        </is>
      </c>
      <c r="B16" s="12" t="inlineStr">
        <is>
          <t>CloudFront</t>
        </is>
      </c>
      <c r="C16" s="12" t="inlineStr">
        <is>
          <t>200GB</t>
        </is>
      </c>
      <c r="D16" s="13" t="n">
        <v>30</v>
      </c>
      <c r="E16" s="13" t="n">
        <v>4500</v>
      </c>
      <c r="F16" s="12" t="inlineStr">
        <is>
          <t>2.7%</t>
        </is>
      </c>
    </row>
    <row r="17">
      <c r="A17" s="12" t="inlineStr">
        <is>
          <t>キャッシュ</t>
        </is>
      </c>
      <c r="B17" s="12" t="inlineStr">
        <is>
          <t>ElastiCache (Redis)</t>
        </is>
      </c>
      <c r="C17" s="12" t="inlineStr">
        <is>
          <t>t4g.small×2</t>
        </is>
      </c>
      <c r="D17" s="13" t="n">
        <v>35</v>
      </c>
      <c r="E17" s="13" t="n">
        <v>5250</v>
      </c>
      <c r="F17" s="12" t="inlineStr">
        <is>
          <t>3.2%</t>
        </is>
      </c>
    </row>
    <row r="18">
      <c r="A18" s="12" t="inlineStr">
        <is>
          <t>ネットワーク</t>
        </is>
      </c>
      <c r="B18" s="12" t="inlineStr">
        <is>
          <t>NAT Gateway×2</t>
        </is>
      </c>
      <c r="C18" s="12" t="inlineStr">
        <is>
          <t>Multi-AZ, 200GB</t>
        </is>
      </c>
      <c r="D18" s="13" t="n">
        <v>70</v>
      </c>
      <c r="E18" s="13" t="n">
        <v>10500</v>
      </c>
      <c r="F18" s="12" t="inlineStr">
        <is>
          <t>6.3%</t>
        </is>
      </c>
    </row>
    <row r="19">
      <c r="A19" s="12" t="inlineStr">
        <is>
          <t>ロードバランサー</t>
        </is>
      </c>
      <c r="B19" s="12" t="inlineStr">
        <is>
          <t>ALB</t>
        </is>
      </c>
      <c r="C19" s="12" t="inlineStr">
        <is>
          <t>100GB処理</t>
        </is>
      </c>
      <c r="D19" s="13" t="n">
        <v>25</v>
      </c>
      <c r="E19" s="13" t="n">
        <v>3750</v>
      </c>
      <c r="F19" s="12" t="inlineStr">
        <is>
          <t>2.3%</t>
        </is>
      </c>
    </row>
    <row r="20">
      <c r="A20" s="12" t="inlineStr">
        <is>
          <t>セキュリティ</t>
        </is>
      </c>
      <c r="B20" s="12" t="inlineStr">
        <is>
          <t>AWS WAF</t>
        </is>
      </c>
      <c r="C20" s="12" t="inlineStr">
        <is>
          <t>10ルール</t>
        </is>
      </c>
      <c r="D20" s="13" t="n">
        <v>15</v>
      </c>
      <c r="E20" s="13" t="n">
        <v>2250</v>
      </c>
      <c r="F20" s="12" t="inlineStr">
        <is>
          <t>1.4%</t>
        </is>
      </c>
    </row>
    <row r="21">
      <c r="A21" s="12" t="inlineStr">
        <is>
          <t>通知</t>
        </is>
      </c>
      <c r="B21" s="12" t="inlineStr">
        <is>
          <t>Amazon SES</t>
        </is>
      </c>
      <c r="C21" s="12" t="inlineStr">
        <is>
          <t>10,000通</t>
        </is>
      </c>
      <c r="D21" s="13" t="n">
        <v>1</v>
      </c>
      <c r="E21" s="13" t="n">
        <v>150</v>
      </c>
      <c r="F21" s="12" t="inlineStr">
        <is>
          <t>0.1%</t>
        </is>
      </c>
    </row>
    <row r="22">
      <c r="A22" s="12" t="inlineStr">
        <is>
          <t>イベント</t>
        </is>
      </c>
      <c r="B22" s="12" t="inlineStr">
        <is>
          <t>EventBridge</t>
        </is>
      </c>
      <c r="C22" s="12" t="inlineStr">
        <is>
          <t>10ルール</t>
        </is>
      </c>
      <c r="D22" s="13" t="n">
        <v>1</v>
      </c>
      <c r="E22" s="13" t="n">
        <v>150</v>
      </c>
      <c r="F22" s="12" t="inlineStr">
        <is>
          <t>0.1%</t>
        </is>
      </c>
    </row>
    <row r="23">
      <c r="A23" s="12" t="inlineStr">
        <is>
          <t>データ転送</t>
        </is>
      </c>
      <c r="B23" s="12" t="inlineStr">
        <is>
          <t>Data Transfer</t>
        </is>
      </c>
      <c r="C23" s="12" t="inlineStr">
        <is>
          <t>200GB</t>
        </is>
      </c>
      <c r="D23" s="13" t="n">
        <v>20</v>
      </c>
      <c r="E23" s="13" t="n">
        <v>3000</v>
      </c>
      <c r="F23" s="12" t="inlineStr">
        <is>
          <t>1.8%</t>
        </is>
      </c>
    </row>
    <row r="26">
      <c r="A26" s="14" t="inlineStr">
        <is>
          <t>コストサマリー</t>
        </is>
      </c>
    </row>
    <row r="27">
      <c r="A27" s="15" t="inlineStr">
        <is>
          <t>月額コスト (USD)</t>
        </is>
      </c>
      <c r="B27" s="5" t="inlineStr">
        <is>
          <t>$1105.50</t>
        </is>
      </c>
    </row>
    <row r="28">
      <c r="A28" s="15" t="inlineStr">
        <is>
          <t>月額コスト (JPY)</t>
        </is>
      </c>
      <c r="B28" s="5" t="inlineStr">
        <is>
          <t>¥165,825</t>
        </is>
      </c>
    </row>
    <row r="29">
      <c r="A29" s="15" t="inlineStr">
        <is>
          <t>年額コスト (USD)</t>
        </is>
      </c>
      <c r="B29" s="5" t="inlineStr">
        <is>
          <t>$13266.00</t>
        </is>
      </c>
    </row>
    <row r="30">
      <c r="A30" s="15" t="inlineStr">
        <is>
          <t>年額コスト (JPY)</t>
        </is>
      </c>
      <c r="B30" s="5" t="inlineStr">
        <is>
          <t>¥1,989,900</t>
        </is>
      </c>
    </row>
    <row r="31">
      <c r="A31" s="15" t="inlineStr">
        <is>
          <t>3年TCO (USD)</t>
        </is>
      </c>
      <c r="B31" s="5" t="inlineStr">
        <is>
          <t>$39798.00</t>
        </is>
      </c>
    </row>
    <row r="32">
      <c r="A32" s="15" t="inlineStr">
        <is>
          <t>3年TCO (JPY)</t>
        </is>
      </c>
      <c r="B32" s="5" t="inlineStr">
        <is>
          <t>¥5,969,700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Pattern 3: 月次バッチ (推奨) - 詳細コスト内訳</t>
        </is>
      </c>
    </row>
    <row r="2">
      <c r="A2" s="2" t="inlineStr">
        <is>
          <t>月額コスト: $47.24 (¥7,086)</t>
        </is>
      </c>
    </row>
    <row r="4">
      <c r="A4" s="3" t="inlineStr">
        <is>
          <t>カテゴリ</t>
        </is>
      </c>
      <c r="B4" s="3" t="inlineStr">
        <is>
          <t>サービス</t>
        </is>
      </c>
      <c r="C4" s="3" t="inlineStr">
        <is>
          <t>詳細</t>
        </is>
      </c>
      <c r="D4" s="3" t="inlineStr">
        <is>
          <t>月額 (USD)</t>
        </is>
      </c>
      <c r="E4" s="3" t="inlineStr">
        <is>
          <t>月額 (JPY)</t>
        </is>
      </c>
      <c r="F4" s="3" t="inlineStr">
        <is>
          <t>構成比</t>
        </is>
      </c>
    </row>
    <row r="5">
      <c r="A5" s="12" t="inlineStr">
        <is>
          <t>ネットワーク</t>
        </is>
      </c>
      <c r="B5" s="12" t="inlineStr">
        <is>
          <t>Site-to-Site VPN</t>
        </is>
      </c>
      <c r="C5" s="12" t="inlineStr">
        <is>
          <t>月4時間のみ</t>
        </is>
      </c>
      <c r="D5" s="13" t="n">
        <v>1.2</v>
      </c>
      <c r="E5" s="13" t="n">
        <v>180</v>
      </c>
      <c r="F5" s="12" t="inlineStr">
        <is>
          <t>2.5%</t>
        </is>
      </c>
    </row>
    <row r="6">
      <c r="A6" s="12" t="inlineStr">
        <is>
          <t>データ転送</t>
        </is>
      </c>
      <c r="B6" s="12" t="inlineStr">
        <is>
          <t>AWS DataSync</t>
        </is>
      </c>
      <c r="C6" s="12" t="inlineStr">
        <is>
          <t>増分20GB/月</t>
        </is>
      </c>
      <c r="D6" s="13" t="n">
        <v>5</v>
      </c>
      <c r="E6" s="13" t="n">
        <v>750</v>
      </c>
      <c r="F6" s="12" t="inlineStr">
        <is>
          <t>10.6%</t>
        </is>
      </c>
    </row>
    <row r="7">
      <c r="A7" s="12" t="inlineStr">
        <is>
          <t>コンピューティング</t>
        </is>
      </c>
      <c r="B7" s="12" t="inlineStr">
        <is>
          <t>Lambda (ARM64)</t>
        </is>
      </c>
      <c r="C7" s="12" t="inlineStr">
        <is>
          <t>63,705 GB-秒</t>
        </is>
      </c>
      <c r="D7" s="13" t="n">
        <v>1.06</v>
      </c>
      <c r="E7" s="13" t="n">
        <v>159</v>
      </c>
      <c r="F7" s="12" t="inlineStr">
        <is>
          <t>2.2%</t>
        </is>
      </c>
    </row>
    <row r="8">
      <c r="A8" s="12" t="inlineStr">
        <is>
          <t>検索エンジン</t>
        </is>
      </c>
      <c r="B8" s="12" t="inlineStr">
        <is>
          <t>OpenSearch (t3.small)</t>
        </is>
      </c>
      <c r="C8" s="12" t="inlineStr">
        <is>
          <t>50GB gp3, kuromoji+k-NN</t>
        </is>
      </c>
      <c r="D8" s="13" t="n">
        <v>31.57</v>
      </c>
      <c r="E8" s="13" t="n">
        <v>4736</v>
      </c>
      <c r="F8" s="12" t="inlineStr">
        <is>
          <t>66.8%</t>
        </is>
      </c>
    </row>
    <row r="9">
      <c r="A9" s="12" t="inlineStr">
        <is>
          <t>データベース</t>
        </is>
      </c>
      <c r="B9" s="12" t="inlineStr">
        <is>
          <t>DynamoDB</t>
        </is>
      </c>
      <c r="C9" s="12" t="inlineStr">
        <is>
          <t>5GB storage</t>
        </is>
      </c>
      <c r="D9" s="13" t="n">
        <v>1.26</v>
      </c>
      <c r="E9" s="13" t="n">
        <v>189</v>
      </c>
      <c r="F9" s="12" t="inlineStr">
        <is>
          <t>2.7%</t>
        </is>
      </c>
    </row>
    <row r="10">
      <c r="A10" s="12" t="inlineStr">
        <is>
          <t>ストレージ</t>
        </is>
      </c>
      <c r="B10" s="12" t="inlineStr">
        <is>
          <t>S3 Intelligent-Tiering</t>
        </is>
      </c>
      <c r="C10" s="12" t="inlineStr">
        <is>
          <t>100GB</t>
        </is>
      </c>
      <c r="D10" s="13" t="n">
        <v>2.15</v>
      </c>
      <c r="E10" s="13" t="n">
        <v>323</v>
      </c>
      <c r="F10" s="12" t="inlineStr">
        <is>
          <t>4.6%</t>
        </is>
      </c>
    </row>
    <row r="11">
      <c r="A11" s="12" t="inlineStr">
        <is>
          <t>ワークフロー</t>
        </is>
      </c>
      <c r="B11" s="12" t="inlineStr">
        <is>
          <t>Step Functions</t>
        </is>
      </c>
      <c r="C11" s="12" t="inlineStr">
        <is>
          <t>20 transitions</t>
        </is>
      </c>
      <c r="D11" s="13" t="n">
        <v>0</v>
      </c>
      <c r="E11" s="13" t="n">
        <v>0</v>
      </c>
      <c r="F11" s="12" t="inlineStr">
        <is>
          <t>0.0%</t>
        </is>
      </c>
    </row>
    <row r="12">
      <c r="A12" s="12" t="inlineStr">
        <is>
          <t>監視</t>
        </is>
      </c>
      <c r="B12" s="12" t="inlineStr">
        <is>
          <t>CloudWatch</t>
        </is>
      </c>
      <c r="C12" s="12" t="inlineStr">
        <is>
          <t>2GB logs + 10 metrics</t>
        </is>
      </c>
      <c r="D12" s="13" t="n">
        <v>4</v>
      </c>
      <c r="E12" s="13" t="n">
        <v>600</v>
      </c>
      <c r="F12" s="12" t="inlineStr">
        <is>
          <t>8.5%</t>
        </is>
      </c>
    </row>
    <row r="13">
      <c r="A13" s="12" t="inlineStr">
        <is>
          <t>イベント</t>
        </is>
      </c>
      <c r="B13" s="12" t="inlineStr">
        <is>
          <t>EventBridge</t>
        </is>
      </c>
      <c r="C13" s="12" t="inlineStr">
        <is>
          <t>1ルール</t>
        </is>
      </c>
      <c r="D13" s="13" t="n">
        <v>1</v>
      </c>
      <c r="E13" s="13" t="n">
        <v>150</v>
      </c>
      <c r="F13" s="12" t="inlineStr">
        <is>
          <t>2.1%</t>
        </is>
      </c>
    </row>
    <row r="14">
      <c r="A14" s="12" t="inlineStr">
        <is>
          <t>通知</t>
        </is>
      </c>
      <c r="B14" s="12" t="inlineStr">
        <is>
          <t>SNS</t>
        </is>
      </c>
      <c r="C14" s="12" t="inlineStr">
        <is>
          <t>10メッセージ</t>
        </is>
      </c>
      <c r="D14" s="13" t="n">
        <v>0</v>
      </c>
      <c r="E14" s="13" t="n">
        <v>0</v>
      </c>
      <c r="F14" s="12" t="inlineStr">
        <is>
          <t>0.0%</t>
        </is>
      </c>
    </row>
    <row r="17">
      <c r="A17" s="14" t="inlineStr">
        <is>
          <t>コストサマリー</t>
        </is>
      </c>
    </row>
    <row r="18">
      <c r="A18" s="15" t="inlineStr">
        <is>
          <t>月額コスト (USD)</t>
        </is>
      </c>
      <c r="B18" s="5" t="inlineStr">
        <is>
          <t>$47.24</t>
        </is>
      </c>
    </row>
    <row r="19">
      <c r="A19" s="15" t="inlineStr">
        <is>
          <t>月額コスト (JPY)</t>
        </is>
      </c>
      <c r="B19" s="5" t="inlineStr">
        <is>
          <t>¥7,086</t>
        </is>
      </c>
    </row>
    <row r="20">
      <c r="A20" s="15" t="inlineStr">
        <is>
          <t>年額コスト (USD)</t>
        </is>
      </c>
      <c r="B20" s="5" t="inlineStr">
        <is>
          <t>$566.88</t>
        </is>
      </c>
    </row>
    <row r="21">
      <c r="A21" s="15" t="inlineStr">
        <is>
          <t>年額コスト (JPY)</t>
        </is>
      </c>
      <c r="B21" s="5" t="inlineStr">
        <is>
          <t>¥85,032</t>
        </is>
      </c>
    </row>
    <row r="22">
      <c r="A22" s="15" t="inlineStr">
        <is>
          <t>3年TCO (USD)</t>
        </is>
      </c>
      <c r="B22" s="5" t="inlineStr">
        <is>
          <t>$1700.64</t>
        </is>
      </c>
    </row>
    <row r="23">
      <c r="A23" s="15" t="inlineStr">
        <is>
          <t>3年TCO (JPY)</t>
        </is>
      </c>
      <c r="B23" s="5" t="inlineStr">
        <is>
          <t>¥255,096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3パターン横並び比較</t>
        </is>
      </c>
    </row>
    <row r="2">
      <c r="A2" s="2" t="inlineStr">
        <is>
          <t>機能・可用性・パフォーマンス・コスト比較</t>
        </is>
      </c>
    </row>
    <row r="4">
      <c r="A4" s="14" t="inlineStr">
        <is>
          <t>コスト比較</t>
        </is>
      </c>
    </row>
    <row r="5">
      <c r="A5" s="16" t="inlineStr">
        <is>
          <t>項目</t>
        </is>
      </c>
      <c r="B5" s="16" t="inlineStr">
        <is>
          <t>Pattern 1</t>
        </is>
      </c>
      <c r="C5" s="16" t="inlineStr">
        <is>
          <t>Pattern 2</t>
        </is>
      </c>
      <c r="D5" s="16" t="inlineStr">
        <is>
          <t>Pattern 3</t>
        </is>
      </c>
    </row>
    <row r="6">
      <c r="A6" s="17" t="inlineStr">
        <is>
          <t>月額 (USD)</t>
        </is>
      </c>
      <c r="B6" s="18" t="inlineStr">
        <is>
          <t>$90.40</t>
        </is>
      </c>
      <c r="C6" s="19" t="inlineStr">
        <is>
          <t>$1,105.50</t>
        </is>
      </c>
      <c r="D6" s="20" t="inlineStr">
        <is>
          <t>$47.24</t>
        </is>
      </c>
    </row>
    <row r="7">
      <c r="A7" s="17" t="inlineStr">
        <is>
          <t>月額 (JPY)</t>
        </is>
      </c>
      <c r="B7" s="18" t="inlineStr">
        <is>
          <t>¥13,560</t>
        </is>
      </c>
      <c r="C7" s="19" t="inlineStr">
        <is>
          <t>¥165,825</t>
        </is>
      </c>
      <c r="D7" s="20" t="inlineStr">
        <is>
          <t>¥7,086</t>
        </is>
      </c>
    </row>
    <row r="8">
      <c r="A8" s="17" t="inlineStr">
        <is>
          <t>年額 (USD)</t>
        </is>
      </c>
      <c r="B8" s="18" t="inlineStr">
        <is>
          <t>$1,084.80</t>
        </is>
      </c>
      <c r="C8" s="19" t="inlineStr">
        <is>
          <t>$13,266.00</t>
        </is>
      </c>
      <c r="D8" s="20" t="inlineStr">
        <is>
          <t>$566.88</t>
        </is>
      </c>
    </row>
    <row r="9">
      <c r="A9" s="17" t="inlineStr">
        <is>
          <t>3年TCO (USD)</t>
        </is>
      </c>
      <c r="B9" s="18" t="inlineStr">
        <is>
          <t>$3,254.40</t>
        </is>
      </c>
      <c r="C9" s="19" t="inlineStr">
        <is>
          <t>$39,798.00</t>
        </is>
      </c>
      <c r="D9" s="20" t="inlineStr">
        <is>
          <t>$1,810.38</t>
        </is>
      </c>
    </row>
    <row r="10">
      <c r="A10" s="17" t="inlineStr">
        <is>
          <t>削減率 vs P2</t>
        </is>
      </c>
      <c r="B10" s="18" t="inlineStr">
        <is>
          <t>-75%</t>
        </is>
      </c>
      <c r="C10" s="19" t="inlineStr">
        <is>
          <t>0%</t>
        </is>
      </c>
      <c r="D10" s="20" t="inlineStr">
        <is>
          <t>-96%</t>
        </is>
      </c>
    </row>
    <row r="13">
      <c r="A13" s="14" t="inlineStr">
        <is>
          <t>機能比較</t>
        </is>
      </c>
    </row>
    <row r="14">
      <c r="A14" s="16" t="inlineStr">
        <is>
          <t>機能</t>
        </is>
      </c>
      <c r="B14" s="16" t="inlineStr">
        <is>
          <t>Pattern 1</t>
        </is>
      </c>
      <c r="C14" s="16" t="inlineStr">
        <is>
          <t>Pattern 2</t>
        </is>
      </c>
      <c r="D14" s="16" t="inlineStr">
        <is>
          <t>Pattern 3</t>
        </is>
      </c>
    </row>
    <row r="15">
      <c r="A15" s="17" t="inlineStr">
        <is>
          <t>基本検索</t>
        </is>
      </c>
      <c r="B15" s="17" t="inlineStr">
        <is>
          <t>✓</t>
        </is>
      </c>
      <c r="C15" s="17" t="inlineStr">
        <is>
          <t>✓</t>
        </is>
      </c>
      <c r="D15" s="17" t="inlineStr">
        <is>
          <t>✓</t>
        </is>
      </c>
    </row>
    <row r="16">
      <c r="A16" s="17" t="inlineStr">
        <is>
          <t>全文検索</t>
        </is>
      </c>
      <c r="B16" s="17" t="inlineStr">
        <is>
          <t>✓ (シンプル)</t>
        </is>
      </c>
      <c r="C16" s="17" t="inlineStr">
        <is>
          <t>✓ (高度)</t>
        </is>
      </c>
      <c r="D16" s="17" t="inlineStr">
        <is>
          <t>✓ (kuromoji)</t>
        </is>
      </c>
    </row>
    <row r="17">
      <c r="A17" s="17" t="inlineStr">
        <is>
          <t>画像類似検索</t>
        </is>
      </c>
      <c r="B17" s="17" t="inlineStr">
        <is>
          <t>✗</t>
        </is>
      </c>
      <c r="C17" s="17" t="inlineStr">
        <is>
          <t>✓</t>
        </is>
      </c>
      <c r="D17" s="17" t="inlineStr">
        <is>
          <t>✓ (k-NN)</t>
        </is>
      </c>
    </row>
    <row r="18">
      <c r="A18" s="17" t="inlineStr">
        <is>
          <t>AI機能</t>
        </is>
      </c>
      <c r="B18" s="17" t="inlineStr">
        <is>
          <t>✗</t>
        </is>
      </c>
      <c r="C18" s="17" t="inlineStr">
        <is>
          <t>✓</t>
        </is>
      </c>
      <c r="D18" s="17" t="inlineStr">
        <is>
          <t>✗</t>
        </is>
      </c>
    </row>
    <row r="19">
      <c r="A19" s="17" t="inlineStr">
        <is>
          <t>リアルタイム同期</t>
        </is>
      </c>
      <c r="B19" s="17" t="inlineStr">
        <is>
          <t>手動</t>
        </is>
      </c>
      <c r="C19" s="17" t="inlineStr">
        <is>
          <t>リアルタイム</t>
        </is>
      </c>
      <c r="D19" s="17" t="inlineStr">
        <is>
          <t>月次バッチ</t>
        </is>
      </c>
    </row>
    <row r="20">
      <c r="A20" s="17" t="inlineStr">
        <is>
          <t>データ保管場所</t>
        </is>
      </c>
      <c r="B20" s="17" t="inlineStr">
        <is>
          <t>AWS</t>
        </is>
      </c>
      <c r="C20" s="17" t="inlineStr">
        <is>
          <t>AWS</t>
        </is>
      </c>
      <c r="D20" s="17" t="inlineStr">
        <is>
          <t>NAS (ハイブリッド)</t>
        </is>
      </c>
    </row>
    <row r="21">
      <c r="A21" s="17" t="inlineStr">
        <is>
          <t>VPN接続</t>
        </is>
      </c>
      <c r="B21" s="17" t="inlineStr">
        <is>
          <t>-</t>
        </is>
      </c>
      <c r="C21" s="17" t="inlineStr">
        <is>
          <t>常時</t>
        </is>
      </c>
      <c r="D21" s="17" t="inlineStr">
        <is>
          <t>月4時間のみ</t>
        </is>
      </c>
    </row>
    <row r="22">
      <c r="A22" s="17" t="inlineStr">
        <is>
          <t>Multi-AZ</t>
        </is>
      </c>
      <c r="B22" s="17" t="inlineStr">
        <is>
          <t>✗</t>
        </is>
      </c>
      <c r="C22" s="17" t="inlineStr">
        <is>
          <t>✓</t>
        </is>
      </c>
      <c r="D22" s="17" t="inlineStr">
        <is>
          <t>✗</t>
        </is>
      </c>
    </row>
    <row r="23">
      <c r="A23" s="17" t="inlineStr">
        <is>
          <t>想定ファイル数</t>
        </is>
      </c>
      <c r="B23" s="17" t="inlineStr">
        <is>
          <t>50,000</t>
        </is>
      </c>
      <c r="C23" s="17" t="inlineStr">
        <is>
          <t>50,000</t>
        </is>
      </c>
      <c r="D23" s="17" t="inlineStr">
        <is>
          <t>1,000,000</t>
        </is>
      </c>
    </row>
    <row r="25">
      <c r="A25" s="14" t="inlineStr">
        <is>
          <t>可用性比較</t>
        </is>
      </c>
    </row>
    <row r="26">
      <c r="A26" s="16" t="inlineStr">
        <is>
          <t>項目</t>
        </is>
      </c>
      <c r="B26" s="16" t="inlineStr">
        <is>
          <t>Pattern 1</t>
        </is>
      </c>
      <c r="C26" s="16" t="inlineStr">
        <is>
          <t>Pattern 2</t>
        </is>
      </c>
      <c r="D26" s="16" t="inlineStr">
        <is>
          <t>Pattern 3</t>
        </is>
      </c>
    </row>
    <row r="27">
      <c r="A27" s="17" t="inlineStr">
        <is>
          <t>RTO (復旧時間)</t>
        </is>
      </c>
      <c r="B27" s="17" t="inlineStr">
        <is>
          <t>4-8時間</t>
        </is>
      </c>
      <c r="C27" s="17" t="inlineStr">
        <is>
          <t>1-2時間</t>
        </is>
      </c>
      <c r="D27" s="17" t="inlineStr">
        <is>
          <t>4-8時間</t>
        </is>
      </c>
    </row>
    <row r="28">
      <c r="A28" s="17" t="inlineStr">
        <is>
          <t>RPO (復旧時点)</t>
        </is>
      </c>
      <c r="B28" s="17" t="inlineStr">
        <is>
          <t>24時間</t>
        </is>
      </c>
      <c r="C28" s="17" t="inlineStr">
        <is>
          <t>5分</t>
        </is>
      </c>
      <c r="D28" s="17" t="inlineStr">
        <is>
          <t>1ヶ月</t>
        </is>
      </c>
    </row>
    <row r="29">
      <c r="A29" s="17" t="inlineStr">
        <is>
          <t>稼働率 (SLA)</t>
        </is>
      </c>
      <c r="B29" s="17" t="inlineStr">
        <is>
          <t>99%</t>
        </is>
      </c>
      <c r="C29" s="17" t="inlineStr">
        <is>
          <t>99.9%</t>
        </is>
      </c>
      <c r="D29" s="17" t="inlineStr">
        <is>
          <t>99%</t>
        </is>
      </c>
    </row>
    <row r="30">
      <c r="A30" s="17" t="inlineStr">
        <is>
          <t>障害時の影響</t>
        </is>
      </c>
      <c r="B30" s="17" t="inlineStr">
        <is>
          <t>全機能停止</t>
        </is>
      </c>
      <c r="C30" s="17" t="inlineStr">
        <is>
          <t>自動フェイルオーバー</t>
        </is>
      </c>
      <c r="D30" s="17" t="inlineStr">
        <is>
          <t>全機能停止</t>
        </is>
      </c>
    </row>
    <row r="31">
      <c r="A31" s="17" t="inlineStr">
        <is>
          <t>データ同期遅延</t>
        </is>
      </c>
      <c r="B31" s="17" t="inlineStr">
        <is>
          <t>手動</t>
        </is>
      </c>
      <c r="C31" s="17" t="inlineStr">
        <is>
          <t>リアルタイム</t>
        </is>
      </c>
      <c r="D31" s="17" t="inlineStr">
        <is>
          <t>最大1ヶ月</t>
        </is>
      </c>
    </row>
    <row r="34">
      <c r="A34" s="14" t="inlineStr">
        <is>
          <t>パフォーマンス比較</t>
        </is>
      </c>
    </row>
    <row r="35">
      <c r="A35" s="16" t="inlineStr">
        <is>
          <t>項目</t>
        </is>
      </c>
      <c r="B35" s="16" t="inlineStr">
        <is>
          <t>Pattern 1</t>
        </is>
      </c>
      <c r="C35" s="16" t="inlineStr">
        <is>
          <t>Pattern 2</t>
        </is>
      </c>
      <c r="D35" s="16" t="inlineStr">
        <is>
          <t>Pattern 3</t>
        </is>
      </c>
    </row>
    <row r="36">
      <c r="A36" s="17" t="inlineStr">
        <is>
          <t>平均検索レスポンス</t>
        </is>
      </c>
      <c r="B36" s="17" t="inlineStr">
        <is>
          <t>2-5秒</t>
        </is>
      </c>
      <c r="C36" s="17" t="inlineStr">
        <is>
          <t>0.5-2秒</t>
        </is>
      </c>
      <c r="D36" s="17" t="inlineStr">
        <is>
          <t>0.1-0.2秒</t>
        </is>
      </c>
    </row>
    <row r="37">
      <c r="A37" s="17" t="inlineStr">
        <is>
          <t>ピーク時レスポンス</t>
        </is>
      </c>
      <c r="B37" s="17" t="inlineStr">
        <is>
          <t>5-10秒</t>
        </is>
      </c>
      <c r="C37" s="17" t="inlineStr">
        <is>
          <t>1-3秒</t>
        </is>
      </c>
      <c r="D37" s="17" t="inlineStr">
        <is>
          <t>0.2-0.5秒</t>
        </is>
      </c>
    </row>
    <row r="38">
      <c r="A38" s="17" t="inlineStr">
        <is>
          <t>同時接続数</t>
        </is>
      </c>
      <c r="B38" s="17" t="inlineStr">
        <is>
          <t>10-20ユーザー</t>
        </is>
      </c>
      <c r="C38" s="17" t="inlineStr">
        <is>
          <t>50+ユーザー</t>
        </is>
      </c>
      <c r="D38" s="17" t="inlineStr">
        <is>
          <t>50ユーザー</t>
        </is>
      </c>
    </row>
    <row r="39">
      <c r="A39" s="17" t="inlineStr">
        <is>
          <t>月間検索数想定</t>
        </is>
      </c>
      <c r="B39" s="17" t="inlineStr">
        <is>
          <t>1,000,000回</t>
        </is>
      </c>
      <c r="C39" s="17" t="inlineStr">
        <is>
          <t>1,500,000回</t>
        </is>
      </c>
      <c r="D39" s="17" t="inlineStr">
        <is>
          <t>10,000回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Pattern 3 スケーリングシナリオ</t>
        </is>
      </c>
    </row>
    <row r="2">
      <c r="A2" s="2" t="inlineStr">
        <is>
          <t>ユーザー数・ファイル数増加時のコスト推移</t>
        </is>
      </c>
    </row>
    <row r="4">
      <c r="A4" s="10" t="inlineStr">
        <is>
          <t>シナリオ</t>
        </is>
      </c>
      <c r="B4" s="10" t="inlineStr">
        <is>
          <t>ユーザー数</t>
        </is>
      </c>
      <c r="C4" s="10" t="inlineStr">
        <is>
          <t>月間検索数</t>
        </is>
      </c>
      <c r="D4" s="10" t="inlineStr">
        <is>
          <t>ファイル数</t>
        </is>
      </c>
      <c r="E4" s="10" t="inlineStr">
        <is>
          <t>データ量 (GB)</t>
        </is>
      </c>
      <c r="F4" s="10" t="inlineStr">
        <is>
          <t>Lambda (USD)</t>
        </is>
      </c>
      <c r="G4" s="10" t="inlineStr">
        <is>
          <t>OpenSearch (USD)</t>
        </is>
      </c>
      <c r="H4" s="10" t="inlineStr">
        <is>
          <t>月額合計 (USD)</t>
        </is>
      </c>
      <c r="I4" s="10" t="inlineStr">
        <is>
          <t>月額合計 (JPY)</t>
        </is>
      </c>
      <c r="J4" s="10" t="inlineStr">
        <is>
          <t>増加率</t>
        </is>
      </c>
    </row>
    <row r="5">
      <c r="A5" s="17" t="inlineStr">
        <is>
          <t>現在</t>
        </is>
      </c>
      <c r="B5" s="13" t="n">
        <v>50</v>
      </c>
      <c r="C5" s="13" t="n">
        <v>10000</v>
      </c>
      <c r="D5" s="13" t="n">
        <v>1000000</v>
      </c>
      <c r="E5" s="13" t="n">
        <v>500</v>
      </c>
      <c r="F5" s="13" t="n">
        <v>1.06</v>
      </c>
      <c r="G5" s="13" t="n">
        <v>31.57</v>
      </c>
      <c r="H5" s="13" t="n">
        <v>47.24</v>
      </c>
      <c r="I5" s="13" t="n">
        <v>7086</v>
      </c>
      <c r="J5" s="17" t="inlineStr">
        <is>
          <t>0%</t>
        </is>
      </c>
    </row>
    <row r="6">
      <c r="A6" s="17" t="inlineStr">
        <is>
          <t>小規模拡大</t>
        </is>
      </c>
      <c r="B6" s="13" t="n">
        <v>100</v>
      </c>
      <c r="C6" s="13" t="n">
        <v>20000</v>
      </c>
      <c r="D6" s="13" t="n">
        <v>1000000</v>
      </c>
      <c r="E6" s="13" t="n">
        <v>500</v>
      </c>
      <c r="F6" s="13" t="n">
        <v>1.11</v>
      </c>
      <c r="G6" s="13" t="n">
        <v>31.57</v>
      </c>
      <c r="H6" s="13" t="n">
        <v>48.29</v>
      </c>
      <c r="I6" s="13" t="n">
        <v>7244</v>
      </c>
      <c r="J6" s="17" t="inlineStr">
        <is>
          <t>2%</t>
        </is>
      </c>
    </row>
    <row r="7">
      <c r="A7" s="17" t="inlineStr">
        <is>
          <t>中規模拡大</t>
        </is>
      </c>
      <c r="B7" s="13" t="n">
        <v>200</v>
      </c>
      <c r="C7" s="13" t="n">
        <v>40000</v>
      </c>
      <c r="D7" s="13" t="n">
        <v>2000000</v>
      </c>
      <c r="E7" s="13" t="n">
        <v>1000</v>
      </c>
      <c r="F7" s="13" t="n">
        <v>1.21</v>
      </c>
      <c r="G7" s="13" t="n">
        <v>56.88</v>
      </c>
      <c r="H7" s="13" t="n">
        <v>73.7</v>
      </c>
      <c r="I7" s="13" t="n">
        <v>11055</v>
      </c>
      <c r="J7" s="17" t="inlineStr">
        <is>
          <t>56%</t>
        </is>
      </c>
    </row>
    <row r="8">
      <c r="A8" s="17" t="inlineStr">
        <is>
          <t>大規模拡大</t>
        </is>
      </c>
      <c r="B8" s="13" t="n">
        <v>500</v>
      </c>
      <c r="C8" s="13" t="n">
        <v>100000</v>
      </c>
      <c r="D8" s="13" t="n">
        <v>5000000</v>
      </c>
      <c r="E8" s="13" t="n">
        <v>2500</v>
      </c>
      <c r="F8" s="13" t="n">
        <v>2.56</v>
      </c>
      <c r="G8" s="13" t="n">
        <v>106</v>
      </c>
      <c r="H8" s="13" t="n">
        <v>123.17</v>
      </c>
      <c r="I8" s="13" t="n">
        <v>18476</v>
      </c>
      <c r="J8" s="17" t="inlineStr">
        <is>
          <t>161%</t>
        </is>
      </c>
    </row>
    <row r="28">
      <c r="A28" s="14" t="inlineStr">
        <is>
          <t>スケーリング推奨事項</t>
        </is>
      </c>
    </row>
    <row r="29">
      <c r="A29" s="10" t="inlineStr">
        <is>
          <t>シナリオ</t>
        </is>
      </c>
      <c r="B29" s="10" t="inlineStr">
        <is>
          <t>推奨アクション</t>
        </is>
      </c>
      <c r="C29" s="10" t="inlineStr">
        <is>
          <t>期待効果</t>
        </is>
      </c>
    </row>
    <row r="30">
      <c r="A30" s="11" t="inlineStr">
        <is>
          <t>50→100ユーザー</t>
        </is>
      </c>
      <c r="B30" s="11" t="inlineStr">
        <is>
          <t>現状維持 (t3.small.search)</t>
        </is>
      </c>
      <c r="C30" s="11" t="inlineStr">
        <is>
          <t>コスト増加わずか2%</t>
        </is>
      </c>
    </row>
    <row r="31">
      <c r="A31" s="11" t="inlineStr">
        <is>
          <t>100→200ユーザー</t>
        </is>
      </c>
      <c r="B31" s="11" t="inlineStr">
        <is>
          <t>OpenSearch: t3.medium.search へアップグレード</t>
        </is>
      </c>
      <c r="C31" s="11" t="inlineStr">
        <is>
          <t>検索パフォーマンス2倍向上</t>
        </is>
      </c>
    </row>
    <row r="32" ht="30" customHeight="1">
      <c r="A32" s="11" t="inlineStr">
        <is>
          <t>200→500ユーザー</t>
        </is>
      </c>
      <c r="B32" s="11" t="inlineStr">
        <is>
          <t>OpenSearch: r6g.large.search へアップグレード
+ Lambda メモリ増強</t>
        </is>
      </c>
      <c r="C32" s="11" t="inlineStr">
        <is>
          <t>大規模検索に対応、レスポンス安定化</t>
        </is>
      </c>
    </row>
    <row r="33">
      <c r="A33" s="11" t="inlineStr">
        <is>
          <t>500ユーザー以上</t>
        </is>
      </c>
      <c r="B33" s="11" t="inlineStr">
        <is>
          <t>Pattern 2 (Multi-AZ) への移行検討</t>
        </is>
      </c>
      <c r="C33" s="11" t="inlineStr">
        <is>
          <t>高可用性確保、ビジネス継続性向上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5" customWidth="1" min="4" max="4"/>
    <col width="15" customWidth="1" min="5" max="5"/>
  </cols>
  <sheetData>
    <row r="1">
      <c r="A1" s="1" t="inlineStr">
        <is>
          <t>コスト最適化提案</t>
        </is>
      </c>
    </row>
    <row r="2">
      <c r="A2" s="2" t="inlineStr">
        <is>
          <t>Reserved Instances、Savings Plans、その他削減施策</t>
        </is>
      </c>
    </row>
    <row r="4">
      <c r="A4" s="14" t="inlineStr">
        <is>
          <t>1. Reserved Instances / Savings Plans 効果</t>
        </is>
      </c>
    </row>
    <row r="5">
      <c r="A5" s="16" t="inlineStr">
        <is>
          <t>サービス</t>
        </is>
      </c>
      <c r="B5" s="16" t="inlineStr">
        <is>
          <t>現在 (On-Demand)</t>
        </is>
      </c>
      <c r="C5" s="16" t="inlineStr">
        <is>
          <t>1年RI (30%削減)</t>
        </is>
      </c>
      <c r="D5" s="16" t="inlineStr">
        <is>
          <t>3年RI (50%削減)</t>
        </is>
      </c>
      <c r="E5" s="16" t="inlineStr">
        <is>
          <t>年間削減額 (USD)</t>
        </is>
      </c>
    </row>
    <row r="6">
      <c r="A6" s="17" t="inlineStr">
        <is>
          <t>RDS (Pattern 2)</t>
        </is>
      </c>
      <c r="B6" s="17" t="inlineStr">
        <is>
          <t>$1,440</t>
        </is>
      </c>
      <c r="C6" s="17" t="inlineStr">
        <is>
          <t>$1,008</t>
        </is>
      </c>
      <c r="D6" s="17" t="inlineStr">
        <is>
          <t>$720</t>
        </is>
      </c>
      <c r="E6" s="17" t="inlineStr">
        <is>
          <t>$720</t>
        </is>
      </c>
    </row>
    <row r="7">
      <c r="A7" s="17" t="inlineStr">
        <is>
          <t>OpenSearch (Pattern 2)</t>
        </is>
      </c>
      <c r="B7" s="17" t="inlineStr">
        <is>
          <t>$5,400</t>
        </is>
      </c>
      <c r="C7" s="17" t="inlineStr">
        <is>
          <t>$3,780</t>
        </is>
      </c>
      <c r="D7" s="17" t="inlineStr">
        <is>
          <t>$2,700</t>
        </is>
      </c>
      <c r="E7" s="17" t="inlineStr">
        <is>
          <t>$2,700</t>
        </is>
      </c>
    </row>
    <row r="8">
      <c r="A8" s="21" t="inlineStr">
        <is>
          <t>Lambda Compute Savings Plans</t>
        </is>
      </c>
      <c r="B8" s="21" t="inlineStr">
        <is>
          <t>$1,020</t>
        </is>
      </c>
      <c r="C8" s="21" t="inlineStr">
        <is>
          <t>$714</t>
        </is>
      </c>
      <c r="D8" s="21" t="inlineStr">
        <is>
          <t>$510</t>
        </is>
      </c>
      <c r="E8" s="21" t="inlineStr">
        <is>
          <t>$510</t>
        </is>
      </c>
    </row>
    <row r="9">
      <c r="A9" s="17" t="inlineStr">
        <is>
          <t>合計削減額</t>
        </is>
      </c>
      <c r="B9" s="17" t="inlineStr">
        <is>
          <t>-</t>
        </is>
      </c>
      <c r="C9" s="17" t="inlineStr">
        <is>
          <t>$2,502</t>
        </is>
      </c>
      <c r="D9" s="17" t="inlineStr">
        <is>
          <t>$3,930</t>
        </is>
      </c>
      <c r="E9" s="17" t="inlineStr">
        <is>
          <t>$3,930</t>
        </is>
      </c>
    </row>
    <row r="11">
      <c r="A11" s="14" t="inlineStr">
        <is>
          <t>2. Pattern 3 主要コスト削減施策</t>
        </is>
      </c>
    </row>
    <row r="12">
      <c r="A12" s="16" t="inlineStr">
        <is>
          <t>削減項目</t>
        </is>
      </c>
      <c r="B12" s="16" t="inlineStr">
        <is>
          <t>従来構成</t>
        </is>
      </c>
      <c r="C12" s="16" t="inlineStr">
        <is>
          <t>Pattern 3</t>
        </is>
      </c>
      <c r="D12" s="16" t="inlineStr">
        <is>
          <t>削減額/月 (USD)</t>
        </is>
      </c>
      <c r="E12" s="16" t="inlineStr">
        <is>
          <t>削減率</t>
        </is>
      </c>
    </row>
    <row r="13">
      <c r="A13" s="17" t="inlineStr">
        <is>
          <t>VPN常時接続 → 月4時間</t>
        </is>
      </c>
      <c r="B13" s="17" t="inlineStr">
        <is>
          <t>$36.50</t>
        </is>
      </c>
      <c r="C13" s="17" t="inlineStr">
        <is>
          <t>$1.20</t>
        </is>
      </c>
      <c r="D13" s="17" t="inlineStr">
        <is>
          <t>$34.80</t>
        </is>
      </c>
      <c r="E13" s="17" t="inlineStr">
        <is>
          <t>97%</t>
        </is>
      </c>
    </row>
    <row r="14">
      <c r="A14" s="17" t="inlineStr">
        <is>
          <t>DataSync リアルタイム → 増分</t>
        </is>
      </c>
      <c r="B14" s="17" t="inlineStr">
        <is>
          <t>$20.00</t>
        </is>
      </c>
      <c r="C14" s="17" t="inlineStr">
        <is>
          <t>$5.00</t>
        </is>
      </c>
      <c r="D14" s="17" t="inlineStr">
        <is>
          <t>$15.00</t>
        </is>
      </c>
      <c r="E14" s="17" t="inlineStr">
        <is>
          <t>75%</t>
        </is>
      </c>
    </row>
    <row r="15">
      <c r="A15" s="17" t="inlineStr">
        <is>
          <t>Lambda常時 → 月次バッチ</t>
        </is>
      </c>
      <c r="B15" s="17" t="inlineStr">
        <is>
          <t>$15.00</t>
        </is>
      </c>
      <c r="C15" s="17" t="inlineStr">
        <is>
          <t>$1.06</t>
        </is>
      </c>
      <c r="D15" s="17" t="inlineStr">
        <is>
          <t>$13.94</t>
        </is>
      </c>
      <c r="E15" s="17" t="inlineStr">
        <is>
          <t>93%</t>
        </is>
      </c>
    </row>
    <row r="16">
      <c r="A16" s="17" t="inlineStr">
        <is>
          <t>Lambda x86 → ARM64</t>
        </is>
      </c>
      <c r="B16" s="17" t="inlineStr">
        <is>
          <t>$1.33</t>
        </is>
      </c>
      <c r="C16" s="17" t="inlineStr">
        <is>
          <t>$1.06</t>
        </is>
      </c>
      <c r="D16" s="17" t="inlineStr">
        <is>
          <t>$0.27</t>
        </is>
      </c>
      <c r="E16" s="17" t="inlineStr">
        <is>
          <t>20%</t>
        </is>
      </c>
    </row>
    <row r="17">
      <c r="A17" s="17" t="inlineStr">
        <is>
          <t>S3 STANDARD → Intelligent-Tiering</t>
        </is>
      </c>
      <c r="B17" s="17" t="inlineStr">
        <is>
          <t>$3.35</t>
        </is>
      </c>
      <c r="C17" s="17" t="inlineStr">
        <is>
          <t>$2.15</t>
        </is>
      </c>
      <c r="D17" s="17" t="inlineStr">
        <is>
          <t>$1.20</t>
        </is>
      </c>
      <c r="E17" s="17" t="inlineStr">
        <is>
          <t>36%</t>
        </is>
      </c>
    </row>
    <row r="18">
      <c r="A18" s="21" t="inlineStr">
        <is>
          <t>Multi-AZ → Single-AZ (OpenSearch)</t>
        </is>
      </c>
      <c r="B18" s="21" t="inlineStr">
        <is>
          <t>$481.57</t>
        </is>
      </c>
      <c r="C18" s="21" t="inlineStr">
        <is>
          <t>$31.57</t>
        </is>
      </c>
      <c r="D18" s="21" t="inlineStr">
        <is>
          <t>$450.00</t>
        </is>
      </c>
      <c r="E18" s="21" t="inlineStr">
        <is>
          <t>93%</t>
        </is>
      </c>
    </row>
    <row r="19">
      <c r="A19" s="17" t="inlineStr">
        <is>
          <t>合計削減額</t>
        </is>
      </c>
      <c r="B19" s="17" t="inlineStr">
        <is>
          <t>-</t>
        </is>
      </c>
      <c r="C19" s="17" t="inlineStr">
        <is>
          <t>-</t>
        </is>
      </c>
      <c r="D19" s="17" t="inlineStr">
        <is>
          <t>$515.21</t>
        </is>
      </c>
      <c r="E19" s="17" t="inlineStr">
        <is>
          <t>91%</t>
        </is>
      </c>
    </row>
    <row r="21">
      <c r="A21" s="14" t="inlineStr">
        <is>
          <t>3. その他のコスト最適化施策</t>
        </is>
      </c>
    </row>
    <row r="22">
      <c r="A22" s="10" t="inlineStr">
        <is>
          <t>施策</t>
        </is>
      </c>
      <c r="B22" s="10" t="inlineStr">
        <is>
          <t>説明</t>
        </is>
      </c>
      <c r="C22" s="10" t="inlineStr">
        <is>
          <t>期待削減率</t>
        </is>
      </c>
      <c r="D22" s="10" t="inlineStr">
        <is>
          <t>適用難易度</t>
        </is>
      </c>
    </row>
    <row r="23">
      <c r="A23" s="11" t="inlineStr">
        <is>
          <t>S3 Lifecycle Policy</t>
        </is>
      </c>
      <c r="B23" s="11" t="inlineStr">
        <is>
          <t>90日以上のログをGlacierへ自動移行</t>
        </is>
      </c>
      <c r="C23" s="11" t="inlineStr">
        <is>
          <t>10-15%</t>
        </is>
      </c>
      <c r="D23" s="11" t="inlineStr">
        <is>
          <t>低</t>
        </is>
      </c>
    </row>
    <row r="24">
      <c r="A24" s="11" t="inlineStr">
        <is>
          <t>Lambda SnapStart</t>
        </is>
      </c>
      <c r="B24" s="11" t="inlineStr">
        <is>
          <t>コールドスタート削減でProvisioned Concurrency不要</t>
        </is>
      </c>
      <c r="C24" s="11" t="inlineStr">
        <is>
          <t>15-20%</t>
        </is>
      </c>
      <c r="D24" s="11" t="inlineStr">
        <is>
          <t>中</t>
        </is>
      </c>
    </row>
    <row r="25">
      <c r="A25" s="11" t="inlineStr">
        <is>
          <t>CloudWatch Logs → Athena</t>
        </is>
      </c>
      <c r="B25" s="11" t="inlineStr">
        <is>
          <t>ログ分析をAthenaで実施</t>
        </is>
      </c>
      <c r="C25" s="11" t="inlineStr">
        <is>
          <t>40-50%</t>
        </is>
      </c>
      <c r="D25" s="11" t="inlineStr">
        <is>
          <t>中</t>
        </is>
      </c>
    </row>
    <row r="26">
      <c r="A26" s="11" t="inlineStr">
        <is>
          <t>Spot Instances (開発環境)</t>
        </is>
      </c>
      <c r="B26" s="11" t="inlineStr">
        <is>
          <t>開発環境でSpot利用</t>
        </is>
      </c>
      <c r="C26" s="11" t="inlineStr">
        <is>
          <t>70%</t>
        </is>
      </c>
      <c r="D26" s="11" t="inlineStr">
        <is>
          <t>低</t>
        </is>
      </c>
    </row>
    <row r="27">
      <c r="A27" s="11" t="inlineStr">
        <is>
          <t>Compute Optimizer</t>
        </is>
      </c>
      <c r="B27" s="11" t="inlineStr">
        <is>
          <t>自動リソース最適化提案</t>
        </is>
      </c>
      <c r="C27" s="11" t="inlineStr">
        <is>
          <t>5-10%</t>
        </is>
      </c>
      <c r="D27" s="11" t="inlineStr">
        <is>
          <t>低</t>
        </is>
      </c>
    </row>
    <row r="28">
      <c r="A28" s="11" t="inlineStr">
        <is>
          <t>Trusted Advisor</t>
        </is>
      </c>
      <c r="B28" s="11" t="inlineStr">
        <is>
          <t>コスト最適化チェック</t>
        </is>
      </c>
      <c r="C28" s="11" t="inlineStr">
        <is>
          <t>変動</t>
        </is>
      </c>
      <c r="D28" s="11" t="inlineStr">
        <is>
          <t>低</t>
        </is>
      </c>
    </row>
    <row r="31">
      <c r="A31" s="14" t="inlineStr">
        <is>
          <t>4. 最適化実施ロードマップ</t>
        </is>
      </c>
    </row>
    <row r="32">
      <c r="A32" s="10" t="inlineStr">
        <is>
          <t>フェーズ</t>
        </is>
      </c>
      <c r="B32" s="10" t="inlineStr">
        <is>
          <t>期間</t>
        </is>
      </c>
      <c r="C32" s="10" t="inlineStr">
        <is>
          <t>施策</t>
        </is>
      </c>
      <c r="D32" s="10" t="inlineStr">
        <is>
          <t>期待削減率</t>
        </is>
      </c>
    </row>
    <row r="33" ht="30" customHeight="1">
      <c r="A33" s="11" t="inlineStr">
        <is>
          <t>Phase 1: 即時実施</t>
        </is>
      </c>
      <c r="B33" s="11" t="inlineStr">
        <is>
          <t>Week 1-2</t>
        </is>
      </c>
      <c r="C33" s="11" t="inlineStr">
        <is>
          <t>S3 Lifecycle Policy設定
CloudWatch Logs保存期間最適化</t>
        </is>
      </c>
      <c r="D33" s="11" t="inlineStr">
        <is>
          <t>5%</t>
        </is>
      </c>
    </row>
    <row r="34" ht="30" customHeight="1">
      <c r="A34" s="11" t="inlineStr">
        <is>
          <t>Phase 2: 短期</t>
        </is>
      </c>
      <c r="B34" s="11" t="inlineStr">
        <is>
          <t>Month 1-3</t>
        </is>
      </c>
      <c r="C34" s="11" t="inlineStr">
        <is>
          <t>Reserved Instances購入 (1年)
Lambda ARM64移行</t>
        </is>
      </c>
      <c r="D34" s="11" t="inlineStr">
        <is>
          <t>15%</t>
        </is>
      </c>
    </row>
    <row r="35" ht="30" customHeight="1">
      <c r="A35" s="11" t="inlineStr">
        <is>
          <t>Phase 3: 中期</t>
        </is>
      </c>
      <c r="B35" s="11" t="inlineStr">
        <is>
          <t>Month 4-6</t>
        </is>
      </c>
      <c r="C35" s="11" t="inlineStr">
        <is>
          <t>Savings Plans検討
Compute Optimizer導入</t>
        </is>
      </c>
      <c r="D35" s="11" t="inlineStr">
        <is>
          <t>10%</t>
        </is>
      </c>
    </row>
    <row r="36" ht="30" customHeight="1">
      <c r="A36" s="22" t="inlineStr">
        <is>
          <t>Phase 4: 長期</t>
        </is>
      </c>
      <c r="B36" s="22" t="inlineStr">
        <is>
          <t>Month 7-12</t>
        </is>
      </c>
      <c r="C36" s="22" t="inlineStr">
        <is>
          <t>3年RI検討
アーキテクチャ最適化</t>
        </is>
      </c>
      <c r="D36" s="22" t="inlineStr">
        <is>
          <t>15%</t>
        </is>
      </c>
    </row>
    <row r="37">
      <c r="A37" s="11" t="inlineStr">
        <is>
          <t>合計削減効果</t>
        </is>
      </c>
      <c r="B37" s="11" t="inlineStr">
        <is>
          <t>-</t>
        </is>
      </c>
      <c r="C37" s="11" t="inlineStr">
        <is>
          <t>-</t>
        </is>
      </c>
      <c r="D37" s="11" t="inlineStr">
        <is>
          <t>40-45%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2025-10-18T08:24:14Z</dcterms:created>
  <dcterms:modified xsi:type="dcterms:W3CDTF">2025-10-18T08:24:14Z</dcterms:modified>
</cp:coreProperties>
</file>