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パターン1詳細" sheetId="2" state="visible" r:id="rId2"/>
    <sheet name="パターン2詳細" sheetId="3" state="visible" r:id="rId3"/>
    <sheet name="詳細比較" sheetId="4" state="visible" r:id="rId4"/>
    <sheet name="コスト最適化提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¥&quot;#,##0"/>
  </numFmts>
  <fonts count="5">
    <font>
      <name val="Calibri"/>
      <family val="2"/>
      <color theme="1"/>
      <sz val="11"/>
      <scheme val="minor"/>
    </font>
    <font>
      <name val="Meiryo"/>
      <b val="1"/>
      <color rgb="00FFFFFF"/>
      <sz val="16"/>
    </font>
    <font>
      <name val="Meiryo"/>
      <b val="1"/>
      <sz val="10"/>
    </font>
    <font>
      <name val="Meiryo"/>
      <b val="1"/>
      <sz val="11"/>
    </font>
    <font>
      <name val="Meiryo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AF8"/>
        <bgColor rgb="00D6EAF8"/>
      </patternFill>
    </fill>
    <fill>
      <patternFill patternType="solid">
        <fgColor rgb="00F2F2F2"/>
        <bgColor rgb="00F2F2F2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4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月額コスト比較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'サマリー'!$A$13</f>
            </numRef>
          </cat>
          <val>
            <numRef>
              <f>'サマリー'!$B$13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サービス別コスト比率（パターン1）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'パターン1詳細'!$A$11:$A$20</f>
            </numRef>
          </cat>
          <val>
            <numRef>
              <f>'パターン1詳細'!$C$11:$C$20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サービス別コスト比率（パターン2）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'パターン2詳細'!$A$11:$A$33</f>
            </numRef>
          </cat>
          <val>
            <numRef>
              <f>'パターン2詳細'!$C$11:$C$33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サービス別コスト比較（USD）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'詳細比較'!B4</f>
            </strRef>
          </tx>
          <spPr>
            <a:ln>
              <a:prstDash val="solid"/>
            </a:ln>
          </spPr>
          <cat>
            <numRef>
              <f>'詳細比較'!$A$5:$A$13</f>
            </numRef>
          </cat>
          <val>
            <numRef>
              <f>'詳細比較'!$B$5:$B$13</f>
            </numRef>
          </val>
        </ser>
        <ser>
          <idx val="1"/>
          <order val="1"/>
          <tx>
            <strRef>
              <f>'詳細比較'!C4</f>
            </strRef>
          </tx>
          <spPr>
            <a:ln>
              <a:prstDash val="solid"/>
            </a:ln>
          </spPr>
          <cat>
            <numRef>
              <f>'詳細比較'!$A$5:$A$13</f>
            </numRef>
          </cat>
          <val>
            <numRef>
              <f>'詳細比較'!$C$5:$C$13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サービス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月額コスト（USD）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フェーズ別コスト推移（月額USD）</a:t>
            </a:r>
          </a:p>
        </rich>
      </tx>
    </title>
    <plotArea>
      <lineChart>
        <grouping val="standard"/>
        <ser>
          <idx val="0"/>
          <order val="0"/>
          <tx>
            <strRef>
              <f>'コスト最適化提案'!D12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'コスト最適化提案'!$A$13:$A$15</f>
            </numRef>
          </cat>
          <val>
            <numRef>
              <f>'コスト最適化提案'!$D$13:$D$15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フェーズ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月額コスト（USD）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11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54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37</row>
      <rowOff>0</rowOff>
    </from>
    <ext cx="54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37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5" customWidth="1" min="4" max="4"/>
    <col width="15" customWidth="1" min="5" max="5"/>
  </cols>
  <sheetData>
    <row r="1" ht="30" customHeight="1">
      <c r="A1" s="1" t="inlineStr">
        <is>
          <t>CIS ファイル検索システム AWS コスト見積もり</t>
        </is>
      </c>
    </row>
    <row r="3">
      <c r="A3" t="inlineStr">
        <is>
          <t>作成日:</t>
        </is>
      </c>
      <c r="B3" t="inlineStr">
        <is>
          <t>2025-10-18</t>
        </is>
      </c>
    </row>
    <row r="4">
      <c r="A4" t="inlineStr">
        <is>
          <t>為替レート:</t>
        </is>
      </c>
      <c r="B4" t="inlineStr">
        <is>
          <t>$1 = ¥150</t>
        </is>
      </c>
    </row>
    <row r="6">
      <c r="A6" s="2" t="inlineStr">
        <is>
          <t>【前提条件】</t>
        </is>
      </c>
    </row>
    <row r="7">
      <c r="A7" t="inlineStr">
        <is>
          <t>月間検索数: 1,000,000回</t>
        </is>
      </c>
    </row>
    <row r="8">
      <c r="A8" t="inlineStr">
        <is>
          <t>ユーザー数: 50名</t>
        </is>
      </c>
    </row>
    <row r="9">
      <c r="A9" t="inlineStr">
        <is>
          <t>ファイル数: 50,000ファイル</t>
        </is>
      </c>
    </row>
    <row r="11">
      <c r="A11" s="2" t="inlineStr">
        <is>
          <t>【コスト比較】</t>
        </is>
      </c>
    </row>
    <row r="12">
      <c r="A12" s="3" t="inlineStr">
        <is>
          <t>項目</t>
        </is>
      </c>
      <c r="B12" s="3" t="inlineStr">
        <is>
          <t>パターン1（コスト最優先）</t>
        </is>
      </c>
      <c r="C12" s="3" t="inlineStr">
        <is>
          <t>パターン2（可用性重視）</t>
        </is>
      </c>
      <c r="D12" s="3" t="inlineStr">
        <is>
          <t>差額</t>
        </is>
      </c>
      <c r="E12" s="3" t="inlineStr">
        <is>
          <t>差額率</t>
        </is>
      </c>
    </row>
    <row r="13">
      <c r="A13" s="4" t="inlineStr">
        <is>
          <t>月額コスト（USD）</t>
        </is>
      </c>
      <c r="B13" s="5" t="n">
        <v>90.40000000000001</v>
      </c>
      <c r="C13" s="5" t="n">
        <v>1105.5</v>
      </c>
      <c r="D13" s="5" t="n">
        <v>1015.1</v>
      </c>
      <c r="E13" s="4" t="inlineStr">
        <is>
          <t>+1122%</t>
        </is>
      </c>
    </row>
    <row r="14">
      <c r="A14" s="4" t="inlineStr">
        <is>
          <t>月額コスト（JPY）</t>
        </is>
      </c>
      <c r="B14" s="6" t="n">
        <v>13560</v>
      </c>
      <c r="C14" s="6" t="n">
        <v>165825</v>
      </c>
      <c r="D14" s="6" t="n">
        <v>152265</v>
      </c>
      <c r="E14" s="7" t="inlineStr">
        <is>
          <t>+1122%</t>
        </is>
      </c>
    </row>
    <row r="15">
      <c r="A15" s="4" t="inlineStr">
        <is>
          <t>年額コスト（USD）</t>
        </is>
      </c>
      <c r="B15" s="5" t="n">
        <v>1084.8</v>
      </c>
      <c r="C15" s="5" t="n">
        <v>13266</v>
      </c>
      <c r="D15" s="5" t="n">
        <v>12181.2</v>
      </c>
      <c r="E15" s="4" t="inlineStr">
        <is>
          <t>+1122%</t>
        </is>
      </c>
    </row>
    <row r="16">
      <c r="A16" s="4" t="inlineStr">
        <is>
          <t>年額コスト（JPY）</t>
        </is>
      </c>
      <c r="B16" s="6" t="n">
        <v>162720</v>
      </c>
      <c r="C16" s="6" t="n">
        <v>1989900</v>
      </c>
      <c r="D16" s="6" t="n">
        <v>1827180</v>
      </c>
      <c r="E16" s="7" t="inlineStr">
        <is>
          <t>+1122%</t>
        </is>
      </c>
    </row>
    <row r="18">
      <c r="A18" s="2" t="inlineStr">
        <is>
          <t>【構成比較】</t>
        </is>
      </c>
    </row>
    <row r="19">
      <c r="A19" s="3" t="inlineStr">
        <is>
          <t>項目</t>
        </is>
      </c>
      <c r="B19" s="3" t="inlineStr">
        <is>
          <t>パターン1</t>
        </is>
      </c>
      <c r="C19" s="3" t="inlineStr">
        <is>
          <t>パターン2</t>
        </is>
      </c>
    </row>
    <row r="20">
      <c r="A20" s="4" t="inlineStr">
        <is>
          <t>AZ構成</t>
        </is>
      </c>
      <c r="B20" s="4" t="inlineStr">
        <is>
          <t>Single-AZ</t>
        </is>
      </c>
      <c r="C20" s="4" t="inlineStr">
        <is>
          <t>Multi-AZ（2-3 AZ）</t>
        </is>
      </c>
    </row>
    <row r="21">
      <c r="A21" s="4" t="inlineStr">
        <is>
          <t>RDS</t>
        </is>
      </c>
      <c r="B21" s="7" t="inlineStr">
        <is>
          <t>db.t4g.micro (1GB)</t>
        </is>
      </c>
      <c r="C21" s="7" t="inlineStr">
        <is>
          <t>db.t4g.medium (4GB) Multi-AZ</t>
        </is>
      </c>
    </row>
    <row r="22">
      <c r="A22" s="4" t="inlineStr">
        <is>
          <t>OpenSearch</t>
        </is>
      </c>
      <c r="B22" s="4" t="inlineStr">
        <is>
          <t>t3.small × 1ノード</t>
        </is>
      </c>
      <c r="C22" s="4" t="inlineStr">
        <is>
          <t>r6g.large × 3ノード + 専用マスター</t>
        </is>
      </c>
    </row>
    <row r="23">
      <c r="A23" s="4" t="inlineStr">
        <is>
          <t>Lambda</t>
        </is>
      </c>
      <c r="B23" s="7" t="inlineStr">
        <is>
          <t>無料枠内</t>
        </is>
      </c>
      <c r="C23" s="7" t="inlineStr">
        <is>
          <t>Provisioned Concurrency付き</t>
        </is>
      </c>
    </row>
    <row r="24">
      <c r="A24" s="4" t="inlineStr">
        <is>
          <t>可用性SLA</t>
        </is>
      </c>
      <c r="B24" s="4" t="inlineStr">
        <is>
          <t>約99%</t>
        </is>
      </c>
      <c r="C24" s="4" t="inlineStr">
        <is>
          <t>約99.9%</t>
        </is>
      </c>
    </row>
    <row r="25">
      <c r="A25" s="4" t="inlineStr">
        <is>
          <t>平均レスポンス</t>
        </is>
      </c>
      <c r="B25" s="7" t="inlineStr">
        <is>
          <t>2-5秒</t>
        </is>
      </c>
      <c r="C25" s="7" t="inlineStr">
        <is>
          <t>0.5-2秒</t>
        </is>
      </c>
    </row>
    <row r="27">
      <c r="A27" s="2" t="inlineStr">
        <is>
          <t>【機能比較】</t>
        </is>
      </c>
    </row>
    <row r="28">
      <c r="A28" s="3" t="inlineStr">
        <is>
          <t>機能</t>
        </is>
      </c>
      <c r="B28" s="3" t="inlineStr">
        <is>
          <t>パターン1</t>
        </is>
      </c>
      <c r="C28" s="3" t="inlineStr">
        <is>
          <t>パターン2</t>
        </is>
      </c>
    </row>
    <row r="29">
      <c r="A29" s="4" t="inlineStr">
        <is>
          <t>基本検索</t>
        </is>
      </c>
      <c r="B29" s="4" t="inlineStr">
        <is>
          <t>✓</t>
        </is>
      </c>
      <c r="C29" s="4" t="inlineStr">
        <is>
          <t>✓</t>
        </is>
      </c>
    </row>
    <row r="30">
      <c r="A30" s="4" t="inlineStr">
        <is>
          <t>全文検索</t>
        </is>
      </c>
      <c r="B30" s="7" t="inlineStr">
        <is>
          <t>✓（シンプル）</t>
        </is>
      </c>
      <c r="C30" s="7" t="inlineStr">
        <is>
          <t>✓（高度）</t>
        </is>
      </c>
    </row>
    <row r="31">
      <c r="A31" s="4" t="inlineStr">
        <is>
          <t>画像類似検索</t>
        </is>
      </c>
      <c r="B31" s="4" t="inlineStr">
        <is>
          <t>×</t>
        </is>
      </c>
      <c r="C31" s="4" t="inlineStr">
        <is>
          <t>✓</t>
        </is>
      </c>
    </row>
    <row r="32">
      <c r="A32" s="4" t="inlineStr">
        <is>
          <t>AI機能</t>
        </is>
      </c>
      <c r="B32" s="7" t="inlineStr">
        <is>
          <t>×</t>
        </is>
      </c>
      <c r="C32" s="7" t="inlineStr">
        <is>
          <t>✓</t>
        </is>
      </c>
    </row>
    <row r="33">
      <c r="A33" s="4" t="inlineStr">
        <is>
          <t>リアルタイム通知</t>
        </is>
      </c>
      <c r="B33" s="4" t="inlineStr">
        <is>
          <t>×</t>
        </is>
      </c>
      <c r="C33" s="4" t="inlineStr">
        <is>
          <t>✓</t>
        </is>
      </c>
    </row>
    <row r="34">
      <c r="A34" s="4" t="inlineStr">
        <is>
          <t>Multi-AZ</t>
        </is>
      </c>
      <c r="B34" s="7" t="inlineStr">
        <is>
          <t>×</t>
        </is>
      </c>
      <c r="C34" s="7" t="inlineStr">
        <is>
          <t>✓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</cols>
  <sheetData>
    <row r="1" ht="30" customHeight="1">
      <c r="A1" s="1" t="inlineStr">
        <is>
          <t>パターン1: コスト最優先（機能削減版）</t>
        </is>
      </c>
    </row>
    <row r="3">
      <c r="A3" s="2" t="inlineStr">
        <is>
          <t>【設計方針】</t>
        </is>
      </c>
    </row>
    <row r="4">
      <c r="A4" t="inlineStr">
        <is>
          <t>• Single-AZ構成</t>
        </is>
      </c>
    </row>
    <row r="5">
      <c r="A5" t="inlineStr">
        <is>
          <t>• 最小限のインスタンスサイズ</t>
        </is>
      </c>
    </row>
    <row r="6">
      <c r="A6" t="inlineStr">
        <is>
          <t>• 削除機能: 画像検索、AI機能、リアルタイム通知</t>
        </is>
      </c>
    </row>
    <row r="9">
      <c r="A9" s="2" t="inlineStr">
        <is>
          <t>【コスト内訳】</t>
        </is>
      </c>
    </row>
    <row r="10">
      <c r="A10" s="3" t="inlineStr">
        <is>
          <t>サービス名</t>
        </is>
      </c>
      <c r="B10" s="3" t="inlineStr">
        <is>
          <t>スペック</t>
        </is>
      </c>
      <c r="C10" s="3" t="inlineStr">
        <is>
          <t>月額（USD）</t>
        </is>
      </c>
      <c r="D10" s="3" t="inlineStr">
        <is>
          <t>月額（JPY）</t>
        </is>
      </c>
      <c r="E10" s="3" t="inlineStr">
        <is>
          <t>年額（USD）</t>
        </is>
      </c>
      <c r="F10" s="3" t="inlineStr">
        <is>
          <t>年額（JPY）</t>
        </is>
      </c>
      <c r="G10" s="3" t="inlineStr">
        <is>
          <t>備考</t>
        </is>
      </c>
    </row>
    <row r="11">
      <c r="A11" s="4" t="inlineStr">
        <is>
          <t>RDS</t>
        </is>
      </c>
      <c r="B11" s="4" t="inlineStr">
        <is>
          <t>db.t4g.micro, 20GB, Single-AZ</t>
        </is>
      </c>
      <c r="C11" s="8" t="n">
        <v>12</v>
      </c>
      <c r="D11" s="9" t="n">
        <v>1800</v>
      </c>
      <c r="E11" s="8" t="n">
        <v>144</v>
      </c>
      <c r="F11" s="9" t="n">
        <v>21600</v>
      </c>
      <c r="G11" s="4" t="inlineStr">
        <is>
          <t>PostgreSQL</t>
        </is>
      </c>
    </row>
    <row r="12">
      <c r="A12" s="4" t="inlineStr">
        <is>
          <t>OpenSearch</t>
        </is>
      </c>
      <c r="B12" s="7" t="inlineStr">
        <is>
          <t>t3.small.search × 1, 10GB</t>
        </is>
      </c>
      <c r="C12" s="6" t="n">
        <v>25</v>
      </c>
      <c r="D12" s="6" t="n">
        <v>3750</v>
      </c>
      <c r="E12" s="6" t="n">
        <v>300</v>
      </c>
      <c r="F12" s="6" t="n">
        <v>45000</v>
      </c>
      <c r="G12" s="7" t="inlineStr">
        <is>
          <t>シングルノード</t>
        </is>
      </c>
    </row>
    <row r="13">
      <c r="A13" s="4" t="inlineStr">
        <is>
          <t>Lambda</t>
        </is>
      </c>
      <c r="B13" s="4" t="inlineStr">
        <is>
          <t>275,000 GB-秒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4" t="inlineStr">
        <is>
          <t>無料枠内</t>
        </is>
      </c>
    </row>
    <row r="14">
      <c r="A14" s="4" t="inlineStr">
        <is>
          <t>DynamoDB</t>
        </is>
      </c>
      <c r="B14" s="7" t="inlineStr">
        <is>
          <t>On-Demand, 250MB</t>
        </is>
      </c>
      <c r="C14" s="6" t="n">
        <v>2</v>
      </c>
      <c r="D14" s="6" t="n">
        <v>300</v>
      </c>
      <c r="E14" s="6" t="n">
        <v>24</v>
      </c>
      <c r="F14" s="6" t="n">
        <v>3600</v>
      </c>
      <c r="G14" s="7" t="inlineStr"/>
    </row>
    <row r="15">
      <c r="A15" s="4" t="inlineStr">
        <is>
          <t>S3</t>
        </is>
      </c>
      <c r="B15" s="4" t="inlineStr">
        <is>
          <t>50GB STANDARD</t>
        </is>
      </c>
      <c r="C15" s="5" t="n">
        <v>1.15</v>
      </c>
      <c r="D15" s="5" t="n">
        <v>173</v>
      </c>
      <c r="E15" s="5" t="n">
        <v>13.8</v>
      </c>
      <c r="F15" s="5" t="n">
        <v>2070</v>
      </c>
      <c r="G15" s="4" t="inlineStr"/>
    </row>
    <row r="16">
      <c r="A16" s="4" t="inlineStr">
        <is>
          <t>CloudWatch</t>
        </is>
      </c>
      <c r="B16" s="7" t="inlineStr">
        <is>
          <t>10GB ログ</t>
        </is>
      </c>
      <c r="C16" s="6" t="n">
        <v>5</v>
      </c>
      <c r="D16" s="6" t="n">
        <v>750</v>
      </c>
      <c r="E16" s="6" t="n">
        <v>60</v>
      </c>
      <c r="F16" s="6" t="n">
        <v>9000</v>
      </c>
      <c r="G16" s="7" t="inlineStr"/>
    </row>
    <row r="17">
      <c r="A17" s="4" t="inlineStr">
        <is>
          <t>API Gateway</t>
        </is>
      </c>
      <c r="B17" s="4" t="inlineStr">
        <is>
          <t>1.5M リクエスト</t>
        </is>
      </c>
      <c r="C17" s="5" t="n">
        <v>5.25</v>
      </c>
      <c r="D17" s="5" t="n">
        <v>788</v>
      </c>
      <c r="E17" s="5" t="n">
        <v>63</v>
      </c>
      <c r="F17" s="5" t="n">
        <v>9450</v>
      </c>
      <c r="G17" s="4" t="inlineStr"/>
    </row>
    <row r="18">
      <c r="A18" s="4" t="inlineStr">
        <is>
          <t>Cognito</t>
        </is>
      </c>
      <c r="B18" s="7" t="inlineStr">
        <is>
          <t>50 MAU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7" t="inlineStr">
        <is>
          <t>無料枠内</t>
        </is>
      </c>
    </row>
    <row r="19">
      <c r="A19" s="4" t="inlineStr">
        <is>
          <t>NAT Gateway</t>
        </is>
      </c>
      <c r="B19" s="4" t="inlineStr">
        <is>
          <t>Single-AZ, 50GB処理</t>
        </is>
      </c>
      <c r="C19" s="5" t="n">
        <v>35</v>
      </c>
      <c r="D19" s="5" t="n">
        <v>5250</v>
      </c>
      <c r="E19" s="5" t="n">
        <v>420</v>
      </c>
      <c r="F19" s="5" t="n">
        <v>63000</v>
      </c>
      <c r="G19" s="4" t="inlineStr"/>
    </row>
    <row r="20">
      <c r="A20" s="4" t="inlineStr">
        <is>
          <t>Data Transfer</t>
        </is>
      </c>
      <c r="B20" s="7" t="inlineStr">
        <is>
          <t>55GB送信</t>
        </is>
      </c>
      <c r="C20" s="6" t="n">
        <v>5</v>
      </c>
      <c r="D20" s="6" t="n">
        <v>750</v>
      </c>
      <c r="E20" s="6" t="n">
        <v>60</v>
      </c>
      <c r="F20" s="6" t="n">
        <v>9000</v>
      </c>
      <c r="G20" s="7" t="inlineStr"/>
    </row>
    <row r="21">
      <c r="A21" s="10" t="inlineStr">
        <is>
          <t>合計</t>
        </is>
      </c>
      <c r="B21" s="10" t="inlineStr"/>
      <c r="C21" s="11" t="n">
        <v>90.40000000000001</v>
      </c>
      <c r="D21" s="11" t="n">
        <v>13560</v>
      </c>
      <c r="E21" s="11" t="n">
        <v>1084.8</v>
      </c>
      <c r="F21" s="11" t="n">
        <v>162720</v>
      </c>
      <c r="G21" s="10" t="inlineStr"/>
    </row>
    <row r="50">
      <c r="A50" s="2" t="inlineStr">
        <is>
          <t>【リソーススペック詳細】</t>
        </is>
      </c>
    </row>
    <row r="51">
      <c r="A51" s="3" t="inlineStr">
        <is>
          <t>サービス</t>
        </is>
      </c>
      <c r="B51" s="3" t="inlineStr">
        <is>
          <t>項目</t>
        </is>
      </c>
      <c r="C51" s="3" t="inlineStr">
        <is>
          <t>値</t>
        </is>
      </c>
    </row>
    <row r="52">
      <c r="A52" s="4" t="inlineStr">
        <is>
          <t>RDS</t>
        </is>
      </c>
      <c r="B52" s="4" t="inlineStr">
        <is>
          <t>インスタンスタイプ</t>
        </is>
      </c>
      <c r="C52" s="4" t="inlineStr">
        <is>
          <t>db.t4g.micro</t>
        </is>
      </c>
    </row>
    <row r="53">
      <c r="A53" s="4" t="inlineStr">
        <is>
          <t>RDS</t>
        </is>
      </c>
      <c r="B53" s="7" t="inlineStr">
        <is>
          <t>vCPU</t>
        </is>
      </c>
      <c r="C53" s="7" t="inlineStr">
        <is>
          <t>2</t>
        </is>
      </c>
    </row>
    <row r="54">
      <c r="A54" s="4" t="inlineStr">
        <is>
          <t>RDS</t>
        </is>
      </c>
      <c r="B54" s="4" t="inlineStr">
        <is>
          <t>メモリ</t>
        </is>
      </c>
      <c r="C54" s="4" t="inlineStr">
        <is>
          <t>1GB</t>
        </is>
      </c>
    </row>
    <row r="55">
      <c r="A55" s="4" t="inlineStr">
        <is>
          <t>RDS</t>
        </is>
      </c>
      <c r="B55" s="7" t="inlineStr">
        <is>
          <t>ストレージ</t>
        </is>
      </c>
      <c r="C55" s="7" t="inlineStr">
        <is>
          <t>20GB gp2</t>
        </is>
      </c>
    </row>
    <row r="56">
      <c r="A56" s="4" t="inlineStr">
        <is>
          <t>RDS</t>
        </is>
      </c>
      <c r="B56" s="4" t="inlineStr">
        <is>
          <t>Multi-AZ</t>
        </is>
      </c>
      <c r="C56" s="4" t="inlineStr">
        <is>
          <t>なし</t>
        </is>
      </c>
    </row>
    <row r="57">
      <c r="A57" s="4" t="inlineStr">
        <is>
          <t>RDS</t>
        </is>
      </c>
      <c r="B57" s="7" t="inlineStr">
        <is>
          <t>バックアップ保持</t>
        </is>
      </c>
      <c r="C57" s="7" t="inlineStr">
        <is>
          <t>7日</t>
        </is>
      </c>
    </row>
    <row r="58">
      <c r="A58" s="4" t="inlineStr">
        <is>
          <t>OpenSearch</t>
        </is>
      </c>
      <c r="B58" s="4" t="inlineStr">
        <is>
          <t>ノード数</t>
        </is>
      </c>
      <c r="C58" s="4" t="inlineStr">
        <is>
          <t>1</t>
        </is>
      </c>
    </row>
    <row r="59">
      <c r="A59" s="4" t="inlineStr">
        <is>
          <t>OpenSearch</t>
        </is>
      </c>
      <c r="B59" s="7" t="inlineStr">
        <is>
          <t>インスタンスタイプ</t>
        </is>
      </c>
      <c r="C59" s="7" t="inlineStr">
        <is>
          <t>t3.small.search</t>
        </is>
      </c>
    </row>
    <row r="60">
      <c r="A60" s="4" t="inlineStr">
        <is>
          <t>OpenSearch</t>
        </is>
      </c>
      <c r="B60" s="4" t="inlineStr">
        <is>
          <t>メモリ</t>
        </is>
      </c>
      <c r="C60" s="4" t="inlineStr">
        <is>
          <t>2GB</t>
        </is>
      </c>
    </row>
    <row r="61">
      <c r="A61" s="4" t="inlineStr">
        <is>
          <t>OpenSearch</t>
        </is>
      </c>
      <c r="B61" s="7" t="inlineStr">
        <is>
          <t>EBS</t>
        </is>
      </c>
      <c r="C61" s="7" t="inlineStr">
        <is>
          <t>10GB</t>
        </is>
      </c>
    </row>
    <row r="62">
      <c r="A62" s="4" t="inlineStr">
        <is>
          <t>OpenSearch</t>
        </is>
      </c>
      <c r="B62" s="4" t="inlineStr">
        <is>
          <t>レプリカ</t>
        </is>
      </c>
      <c r="C62" s="4" t="inlineStr">
        <is>
          <t>0</t>
        </is>
      </c>
    </row>
    <row r="63">
      <c r="A63" s="4" t="inlineStr">
        <is>
          <t>Lambda</t>
        </is>
      </c>
      <c r="B63" s="7" t="inlineStr">
        <is>
          <t>search-function メモリ</t>
        </is>
      </c>
      <c r="C63" s="7" t="inlineStr">
        <is>
          <t>512MB</t>
        </is>
      </c>
    </row>
    <row r="64">
      <c r="A64" s="4" t="inlineStr">
        <is>
          <t>Lambda</t>
        </is>
      </c>
      <c r="B64" s="4" t="inlineStr">
        <is>
          <t>indexing-function メモリ</t>
        </is>
      </c>
      <c r="C64" s="4" t="inlineStr">
        <is>
          <t>1024MB</t>
        </is>
      </c>
    </row>
    <row r="65">
      <c r="A65" s="4" t="inlineStr">
        <is>
          <t>Lambda</t>
        </is>
      </c>
      <c r="B65" s="7" t="inlineStr">
        <is>
          <t>logging-function メモリ</t>
        </is>
      </c>
      <c r="C65" s="7" t="inlineStr">
        <is>
          <t>256MB</t>
        </is>
      </c>
    </row>
    <row r="66">
      <c r="A66" s="4" t="inlineStr">
        <is>
          <t>DynamoDB</t>
        </is>
      </c>
      <c r="B66" s="4" t="inlineStr">
        <is>
          <t>課金モード</t>
        </is>
      </c>
      <c r="C66" s="4" t="inlineStr">
        <is>
          <t>On-Demand</t>
        </is>
      </c>
    </row>
    <row r="67">
      <c r="A67" s="4" t="inlineStr">
        <is>
          <t>DynamoDB</t>
        </is>
      </c>
      <c r="B67" s="7" t="inlineStr">
        <is>
          <t>ストレージ</t>
        </is>
      </c>
      <c r="C67" s="7" t="inlineStr">
        <is>
          <t>250MB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28" customWidth="1" min="7" max="7"/>
  </cols>
  <sheetData>
    <row r="1" ht="30" customHeight="1">
      <c r="A1" s="1" t="inlineStr">
        <is>
          <t>パターン2: 可用性・セキュリティ重視（フル機能版）</t>
        </is>
      </c>
    </row>
    <row r="3">
      <c r="A3" s="2" t="inlineStr">
        <is>
          <t>【設計方針】</t>
        </is>
      </c>
    </row>
    <row r="4">
      <c r="A4" t="inlineStr">
        <is>
          <t>• Multi-AZ構成（高可用性）</t>
        </is>
      </c>
    </row>
    <row r="5">
      <c r="A5" t="inlineStr">
        <is>
          <t>• 適切な冗長性</t>
        </is>
      </c>
    </row>
    <row r="6">
      <c r="A6" t="inlineStr">
        <is>
          <t>• フル機能実装</t>
        </is>
      </c>
    </row>
    <row r="9">
      <c r="A9" s="2" t="inlineStr">
        <is>
          <t>【コスト内訳】</t>
        </is>
      </c>
    </row>
    <row r="10">
      <c r="A10" s="3" t="inlineStr">
        <is>
          <t>サービス名</t>
        </is>
      </c>
      <c r="B10" s="3" t="inlineStr">
        <is>
          <t>スペック</t>
        </is>
      </c>
      <c r="C10" s="3" t="inlineStr">
        <is>
          <t>月額（USD）</t>
        </is>
      </c>
      <c r="D10" s="3" t="inlineStr">
        <is>
          <t>月額（JPY）</t>
        </is>
      </c>
      <c r="E10" s="3" t="inlineStr">
        <is>
          <t>年額（USD）</t>
        </is>
      </c>
      <c r="F10" s="3" t="inlineStr">
        <is>
          <t>年額（JPY）</t>
        </is>
      </c>
      <c r="G10" s="3" t="inlineStr">
        <is>
          <t>備考</t>
        </is>
      </c>
    </row>
    <row r="11">
      <c r="A11" s="4" t="inlineStr">
        <is>
          <t>RDS</t>
        </is>
      </c>
      <c r="B11" s="4" t="inlineStr">
        <is>
          <t>db.t4g.medium Multi-AZ, 100GB</t>
        </is>
      </c>
      <c r="C11" s="8" t="n">
        <v>120</v>
      </c>
      <c r="D11" s="9" t="n">
        <v>18000</v>
      </c>
      <c r="E11" s="8" t="n">
        <v>1440</v>
      </c>
      <c r="F11" s="9" t="n">
        <v>216000</v>
      </c>
      <c r="G11" s="4" t="inlineStr">
        <is>
          <t>PostgreSQL Multi-AZ</t>
        </is>
      </c>
    </row>
    <row r="12">
      <c r="A12" s="4" t="inlineStr">
        <is>
          <t>RDS Proxy</t>
        </is>
      </c>
      <c r="B12" s="7" t="inlineStr">
        <is>
          <t>50接続</t>
        </is>
      </c>
      <c r="C12" s="6" t="n">
        <v>15</v>
      </c>
      <c r="D12" s="6" t="n">
        <v>2250</v>
      </c>
      <c r="E12" s="6" t="n">
        <v>180</v>
      </c>
      <c r="F12" s="6" t="n">
        <v>27000</v>
      </c>
      <c r="G12" s="7" t="inlineStr">
        <is>
          <t>接続プーリング</t>
        </is>
      </c>
    </row>
    <row r="13">
      <c r="A13" s="4" t="inlineStr">
        <is>
          <t>OpenSearch</t>
        </is>
      </c>
      <c r="B13" s="4" t="inlineStr">
        <is>
          <t>r6g.large × 3 + マスター3</t>
        </is>
      </c>
      <c r="C13" s="5" t="n">
        <v>450</v>
      </c>
      <c r="D13" s="5" t="n">
        <v>67500</v>
      </c>
      <c r="E13" s="5" t="n">
        <v>5400</v>
      </c>
      <c r="F13" s="5" t="n">
        <v>810000</v>
      </c>
      <c r="G13" s="4" t="inlineStr">
        <is>
          <t>3-AZ分散</t>
        </is>
      </c>
    </row>
    <row r="14">
      <c r="A14" s="4" t="inlineStr">
        <is>
          <t>Lambda（実行）</t>
        </is>
      </c>
      <c r="B14" s="7" t="inlineStr">
        <is>
          <t>4,057,500 GB-秒</t>
        </is>
      </c>
      <c r="C14" s="6" t="n">
        <v>85</v>
      </c>
      <c r="D14" s="6" t="n">
        <v>12750</v>
      </c>
      <c r="E14" s="6" t="n">
        <v>1020</v>
      </c>
      <c r="F14" s="6" t="n">
        <v>153000</v>
      </c>
      <c r="G14" s="7" t="inlineStr"/>
    </row>
    <row r="15">
      <c r="A15" s="4" t="inlineStr">
        <is>
          <t>Lambda（PC）</t>
        </is>
      </c>
      <c r="B15" s="4" t="inlineStr">
        <is>
          <t>2,920 PC-時間</t>
        </is>
      </c>
      <c r="C15" s="5" t="n">
        <v>45</v>
      </c>
      <c r="D15" s="5" t="n">
        <v>6750</v>
      </c>
      <c r="E15" s="5" t="n">
        <v>540</v>
      </c>
      <c r="F15" s="5" t="n">
        <v>81000</v>
      </c>
      <c r="G15" s="4" t="inlineStr">
        <is>
          <t>Provisioned Concurrency</t>
        </is>
      </c>
    </row>
    <row r="16">
      <c r="A16" s="4" t="inlineStr">
        <is>
          <t>DynamoDB</t>
        </is>
      </c>
      <c r="B16" s="7" t="inlineStr">
        <is>
          <t>Provisioned + On-Demand</t>
        </is>
      </c>
      <c r="C16" s="6" t="n">
        <v>35</v>
      </c>
      <c r="D16" s="6" t="n">
        <v>5250</v>
      </c>
      <c r="E16" s="6" t="n">
        <v>420</v>
      </c>
      <c r="F16" s="6" t="n">
        <v>63000</v>
      </c>
      <c r="G16" s="7" t="inlineStr"/>
    </row>
    <row r="17">
      <c r="A17" s="4" t="inlineStr">
        <is>
          <t>S3</t>
        </is>
      </c>
      <c r="B17" s="4" t="inlineStr">
        <is>
          <t>500GB Multi-Tier</t>
        </is>
      </c>
      <c r="C17" s="5" t="n">
        <v>15</v>
      </c>
      <c r="D17" s="5" t="n">
        <v>2250</v>
      </c>
      <c r="E17" s="5" t="n">
        <v>180</v>
      </c>
      <c r="F17" s="5" t="n">
        <v>27000</v>
      </c>
      <c r="G17" s="4" t="inlineStr"/>
    </row>
    <row r="18">
      <c r="A18" s="4" t="inlineStr">
        <is>
          <t>S3 CRR</t>
        </is>
      </c>
      <c r="B18" s="7" t="inlineStr">
        <is>
          <t>Cross-Region Replication</t>
        </is>
      </c>
      <c r="C18" s="6" t="n">
        <v>10</v>
      </c>
      <c r="D18" s="6" t="n">
        <v>1500</v>
      </c>
      <c r="E18" s="6" t="n">
        <v>120</v>
      </c>
      <c r="F18" s="6" t="n">
        <v>18000</v>
      </c>
      <c r="G18" s="7" t="inlineStr">
        <is>
          <t>大阪リージョン</t>
        </is>
      </c>
    </row>
    <row r="19">
      <c r="A19" s="4" t="inlineStr">
        <is>
          <t>CloudWatch Logs</t>
        </is>
      </c>
      <c r="B19" s="4" t="inlineStr">
        <is>
          <t>100GB, 30日保持</t>
        </is>
      </c>
      <c r="C19" s="5" t="n">
        <v>50</v>
      </c>
      <c r="D19" s="5" t="n">
        <v>7500</v>
      </c>
      <c r="E19" s="5" t="n">
        <v>600</v>
      </c>
      <c r="F19" s="5" t="n">
        <v>90000</v>
      </c>
      <c r="G19" s="4" t="inlineStr"/>
    </row>
    <row r="20">
      <c r="A20" s="4" t="inlineStr">
        <is>
          <t>CloudWatch Metrics</t>
        </is>
      </c>
      <c r="B20" s="7" t="inlineStr">
        <is>
          <t>100カスタムメトリクス</t>
        </is>
      </c>
      <c r="C20" s="6" t="n">
        <v>30</v>
      </c>
      <c r="D20" s="6" t="n">
        <v>4500</v>
      </c>
      <c r="E20" s="6" t="n">
        <v>360</v>
      </c>
      <c r="F20" s="6" t="n">
        <v>54000</v>
      </c>
      <c r="G20" s="7" t="inlineStr"/>
    </row>
    <row r="21">
      <c r="A21" s="4" t="inlineStr">
        <is>
          <t>CloudWatch Alarms</t>
        </is>
      </c>
      <c r="B21" s="4" t="inlineStr">
        <is>
          <t>50アラーム</t>
        </is>
      </c>
      <c r="C21" s="5" t="n">
        <v>10</v>
      </c>
      <c r="D21" s="5" t="n">
        <v>1500</v>
      </c>
      <c r="E21" s="5" t="n">
        <v>120</v>
      </c>
      <c r="F21" s="5" t="n">
        <v>18000</v>
      </c>
      <c r="G21" s="4" t="inlineStr"/>
    </row>
    <row r="22">
      <c r="A22" s="4" t="inlineStr">
        <is>
          <t>CloudWatch Dashboard</t>
        </is>
      </c>
      <c r="B22" s="7" t="inlineStr">
        <is>
          <t>5ダッシュボード</t>
        </is>
      </c>
      <c r="C22" s="6" t="n">
        <v>15</v>
      </c>
      <c r="D22" s="6" t="n">
        <v>2250</v>
      </c>
      <c r="E22" s="6" t="n">
        <v>180</v>
      </c>
      <c r="F22" s="6" t="n">
        <v>27000</v>
      </c>
      <c r="G22" s="7" t="inlineStr"/>
    </row>
    <row r="23">
      <c r="A23" s="4" t="inlineStr">
        <is>
          <t>API Gateway</t>
        </is>
      </c>
      <c r="B23" s="4" t="inlineStr">
        <is>
          <t>2.5M リクエスト</t>
        </is>
      </c>
      <c r="C23" s="5" t="n">
        <v>10</v>
      </c>
      <c r="D23" s="5" t="n">
        <v>1500</v>
      </c>
      <c r="E23" s="5" t="n">
        <v>120</v>
      </c>
      <c r="F23" s="5" t="n">
        <v>18000</v>
      </c>
      <c r="G23" s="4" t="inlineStr"/>
    </row>
    <row r="24">
      <c r="A24" s="4" t="inlineStr">
        <is>
          <t>API Gateway Cache</t>
        </is>
      </c>
      <c r="B24" s="7" t="inlineStr">
        <is>
          <t>0.5GBキャッシュ</t>
        </is>
      </c>
      <c r="C24" s="6" t="n">
        <v>12</v>
      </c>
      <c r="D24" s="6" t="n">
        <v>1800</v>
      </c>
      <c r="E24" s="6" t="n">
        <v>144</v>
      </c>
      <c r="F24" s="6" t="n">
        <v>21600</v>
      </c>
      <c r="G24" s="7" t="inlineStr"/>
    </row>
    <row r="25">
      <c r="A25" s="4" t="inlineStr">
        <is>
          <t>Cognito</t>
        </is>
      </c>
      <c r="B25" s="4" t="inlineStr">
        <is>
          <t>50 MAU + 高度セキュリティ</t>
        </is>
      </c>
      <c r="C25" s="5" t="n">
        <v>2.5</v>
      </c>
      <c r="D25" s="5" t="n">
        <v>375</v>
      </c>
      <c r="E25" s="5" t="n">
        <v>30</v>
      </c>
      <c r="F25" s="5" t="n">
        <v>4500</v>
      </c>
      <c r="G25" s="4" t="inlineStr">
        <is>
          <t>MFA, リスクベース認証</t>
        </is>
      </c>
    </row>
    <row r="26">
      <c r="A26" s="4" t="inlineStr">
        <is>
          <t>CloudFront</t>
        </is>
      </c>
      <c r="B26" s="7" t="inlineStr">
        <is>
          <t>200GB配信</t>
        </is>
      </c>
      <c r="C26" s="6" t="n">
        <v>30</v>
      </c>
      <c r="D26" s="6" t="n">
        <v>4500</v>
      </c>
      <c r="E26" s="6" t="n">
        <v>360</v>
      </c>
      <c r="F26" s="6" t="n">
        <v>54000</v>
      </c>
      <c r="G26" s="7" t="inlineStr">
        <is>
          <t>CDN</t>
        </is>
      </c>
    </row>
    <row r="27">
      <c r="A27" s="4" t="inlineStr">
        <is>
          <t>ElastiCache</t>
        </is>
      </c>
      <c r="B27" s="4" t="inlineStr">
        <is>
          <t>t4g.small × 2 (Multi-AZ)</t>
        </is>
      </c>
      <c r="C27" s="5" t="n">
        <v>35</v>
      </c>
      <c r="D27" s="5" t="n">
        <v>5250</v>
      </c>
      <c r="E27" s="5" t="n">
        <v>420</v>
      </c>
      <c r="F27" s="5" t="n">
        <v>63000</v>
      </c>
      <c r="G27" s="4" t="inlineStr">
        <is>
          <t>Redis</t>
        </is>
      </c>
    </row>
    <row r="28">
      <c r="A28" s="4" t="inlineStr">
        <is>
          <t>NAT Gateway</t>
        </is>
      </c>
      <c r="B28" s="7" t="inlineStr">
        <is>
          <t>Multi-AZ × 2</t>
        </is>
      </c>
      <c r="C28" s="6" t="n">
        <v>70</v>
      </c>
      <c r="D28" s="6" t="n">
        <v>10500</v>
      </c>
      <c r="E28" s="6" t="n">
        <v>840</v>
      </c>
      <c r="F28" s="6" t="n">
        <v>126000</v>
      </c>
      <c r="G28" s="7" t="inlineStr"/>
    </row>
    <row r="29">
      <c r="A29" s="4" t="inlineStr">
        <is>
          <t>ALB</t>
        </is>
      </c>
      <c r="B29" s="4" t="inlineStr">
        <is>
          <t>Application Load Balancer</t>
        </is>
      </c>
      <c r="C29" s="5" t="n">
        <v>25</v>
      </c>
      <c r="D29" s="5" t="n">
        <v>3750</v>
      </c>
      <c r="E29" s="5" t="n">
        <v>300</v>
      </c>
      <c r="F29" s="5" t="n">
        <v>45000</v>
      </c>
      <c r="G29" s="4" t="inlineStr"/>
    </row>
    <row r="30">
      <c r="A30" s="4" t="inlineStr">
        <is>
          <t>WAF</t>
        </is>
      </c>
      <c r="B30" s="7" t="inlineStr">
        <is>
          <t>10ルール, 2.5Mリクエスト</t>
        </is>
      </c>
      <c r="C30" s="6" t="n">
        <v>15</v>
      </c>
      <c r="D30" s="6" t="n">
        <v>2250</v>
      </c>
      <c r="E30" s="6" t="n">
        <v>180</v>
      </c>
      <c r="F30" s="6" t="n">
        <v>27000</v>
      </c>
      <c r="G30" s="7" t="inlineStr">
        <is>
          <t>セキュリティ</t>
        </is>
      </c>
    </row>
    <row r="31">
      <c r="A31" s="4" t="inlineStr">
        <is>
          <t>SES</t>
        </is>
      </c>
      <c r="B31" s="4" t="inlineStr">
        <is>
          <t>10,000通/月</t>
        </is>
      </c>
      <c r="C31" s="5" t="n">
        <v>1</v>
      </c>
      <c r="D31" s="5" t="n">
        <v>150</v>
      </c>
      <c r="E31" s="5" t="n">
        <v>12</v>
      </c>
      <c r="F31" s="5" t="n">
        <v>1800</v>
      </c>
      <c r="G31" s="4" t="inlineStr">
        <is>
          <t>メール送信</t>
        </is>
      </c>
    </row>
    <row r="32">
      <c r="A32" s="4" t="inlineStr">
        <is>
          <t>EventBridge</t>
        </is>
      </c>
      <c r="B32" s="7" t="inlineStr">
        <is>
          <t>10ルール, 100Kイベント</t>
        </is>
      </c>
      <c r="C32" s="6" t="n">
        <v>1</v>
      </c>
      <c r="D32" s="6" t="n">
        <v>150</v>
      </c>
      <c r="E32" s="6" t="n">
        <v>12</v>
      </c>
      <c r="F32" s="6" t="n">
        <v>1800</v>
      </c>
      <c r="G32" s="7" t="inlineStr"/>
    </row>
    <row r="33">
      <c r="A33" s="4" t="inlineStr">
        <is>
          <t>Data Transfer</t>
        </is>
      </c>
      <c r="B33" s="4" t="inlineStr">
        <is>
          <t>220GB送信</t>
        </is>
      </c>
      <c r="C33" s="5" t="n">
        <v>20</v>
      </c>
      <c r="D33" s="5" t="n">
        <v>3000</v>
      </c>
      <c r="E33" s="5" t="n">
        <v>240</v>
      </c>
      <c r="F33" s="5" t="n">
        <v>36000</v>
      </c>
      <c r="G33" s="4" t="inlineStr"/>
    </row>
    <row r="34">
      <c r="A34" s="10" t="inlineStr">
        <is>
          <t>合計</t>
        </is>
      </c>
      <c r="B34" s="10" t="inlineStr"/>
      <c r="C34" s="11" t="n">
        <v>1105.5</v>
      </c>
      <c r="D34" s="11" t="n">
        <v>165825</v>
      </c>
      <c r="E34" s="11" t="n">
        <v>13266</v>
      </c>
      <c r="F34" s="11" t="n">
        <v>1989900</v>
      </c>
      <c r="G34" s="10" t="inlineStr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パターン詳細比較</t>
        </is>
      </c>
    </row>
    <row r="3">
      <c r="A3" s="2" t="inlineStr">
        <is>
          <t>【サービス別コスト比較】</t>
        </is>
      </c>
    </row>
    <row r="4">
      <c r="A4" s="3" t="inlineStr">
        <is>
          <t>サービス</t>
        </is>
      </c>
      <c r="B4" s="3" t="inlineStr">
        <is>
          <t>パターン1（USD）</t>
        </is>
      </c>
      <c r="C4" s="3" t="inlineStr">
        <is>
          <t>パターン2（USD）</t>
        </is>
      </c>
      <c r="D4" s="3" t="inlineStr">
        <is>
          <t>差額（USD）</t>
        </is>
      </c>
      <c r="E4" s="3" t="inlineStr">
        <is>
          <t>差額率</t>
        </is>
      </c>
      <c r="F4" s="3" t="inlineStr">
        <is>
          <t>パターン1（JPY）</t>
        </is>
      </c>
      <c r="G4" s="3" t="inlineStr">
        <is>
          <t>パターン2（JPY）</t>
        </is>
      </c>
      <c r="H4" s="3" t="inlineStr">
        <is>
          <t>差額（JPY）</t>
        </is>
      </c>
    </row>
    <row r="5">
      <c r="A5" s="4" t="inlineStr">
        <is>
          <t>RDS</t>
        </is>
      </c>
      <c r="B5" s="8" t="n">
        <v>12</v>
      </c>
      <c r="C5" s="8" t="n">
        <v>135</v>
      </c>
      <c r="D5" s="8" t="n">
        <v>123</v>
      </c>
      <c r="E5" s="4" t="inlineStr">
        <is>
          <t>+1025%</t>
        </is>
      </c>
      <c r="F5" s="9" t="n">
        <v>1800</v>
      </c>
      <c r="G5" s="9" t="n">
        <v>20250</v>
      </c>
      <c r="H5" s="9" t="n">
        <v>18450</v>
      </c>
    </row>
    <row r="6">
      <c r="A6" s="4" t="inlineStr">
        <is>
          <t>OpenSearch</t>
        </is>
      </c>
      <c r="B6" s="6" t="n">
        <v>25</v>
      </c>
      <c r="C6" s="6" t="n">
        <v>450</v>
      </c>
      <c r="D6" s="6" t="n">
        <v>425</v>
      </c>
      <c r="E6" s="7" t="inlineStr">
        <is>
          <t>+1700%</t>
        </is>
      </c>
      <c r="F6" s="6" t="n">
        <v>3750</v>
      </c>
      <c r="G6" s="6" t="n">
        <v>67500</v>
      </c>
      <c r="H6" s="6" t="n">
        <v>63750</v>
      </c>
    </row>
    <row r="7">
      <c r="A7" s="4" t="inlineStr">
        <is>
          <t>Lambda</t>
        </is>
      </c>
      <c r="B7" s="5" t="n">
        <v>0</v>
      </c>
      <c r="C7" s="5" t="n">
        <v>130</v>
      </c>
      <c r="D7" s="5" t="n">
        <v>130</v>
      </c>
      <c r="E7" s="4" t="inlineStr">
        <is>
          <t>-</t>
        </is>
      </c>
      <c r="F7" s="5" t="n">
        <v>0</v>
      </c>
      <c r="G7" s="5" t="n">
        <v>19500</v>
      </c>
      <c r="H7" s="5" t="n">
        <v>19500</v>
      </c>
    </row>
    <row r="8">
      <c r="A8" s="4" t="inlineStr">
        <is>
          <t>DynamoDB</t>
        </is>
      </c>
      <c r="B8" s="6" t="n">
        <v>2</v>
      </c>
      <c r="C8" s="6" t="n">
        <v>35</v>
      </c>
      <c r="D8" s="6" t="n">
        <v>33</v>
      </c>
      <c r="E8" s="7" t="inlineStr">
        <is>
          <t>+1650%</t>
        </is>
      </c>
      <c r="F8" s="6" t="n">
        <v>300</v>
      </c>
      <c r="G8" s="6" t="n">
        <v>5250</v>
      </c>
      <c r="H8" s="6" t="n">
        <v>4950</v>
      </c>
    </row>
    <row r="9">
      <c r="A9" s="4" t="inlineStr">
        <is>
          <t>S3</t>
        </is>
      </c>
      <c r="B9" s="5" t="n">
        <v>1.15</v>
      </c>
      <c r="C9" s="5" t="n">
        <v>25</v>
      </c>
      <c r="D9" s="5" t="n">
        <v>23.85</v>
      </c>
      <c r="E9" s="4" t="inlineStr">
        <is>
          <t>+2074%</t>
        </is>
      </c>
      <c r="F9" s="5" t="n">
        <v>173</v>
      </c>
      <c r="G9" s="5" t="n">
        <v>3750</v>
      </c>
      <c r="H9" s="5" t="n">
        <v>3578</v>
      </c>
    </row>
    <row r="10">
      <c r="A10" s="4" t="inlineStr">
        <is>
          <t>CloudWatch</t>
        </is>
      </c>
      <c r="B10" s="6" t="n">
        <v>5</v>
      </c>
      <c r="C10" s="6" t="n">
        <v>105</v>
      </c>
      <c r="D10" s="6" t="n">
        <v>100</v>
      </c>
      <c r="E10" s="7" t="inlineStr">
        <is>
          <t>+2000%</t>
        </is>
      </c>
      <c r="F10" s="6" t="n">
        <v>750</v>
      </c>
      <c r="G10" s="6" t="n">
        <v>15750</v>
      </c>
      <c r="H10" s="6" t="n">
        <v>15000</v>
      </c>
    </row>
    <row r="11">
      <c r="A11" s="4" t="inlineStr">
        <is>
          <t>API Gateway</t>
        </is>
      </c>
      <c r="B11" s="5" t="n">
        <v>5.25</v>
      </c>
      <c r="C11" s="5" t="n">
        <v>22</v>
      </c>
      <c r="D11" s="5" t="n">
        <v>16.75</v>
      </c>
      <c r="E11" s="4" t="inlineStr">
        <is>
          <t>+319%</t>
        </is>
      </c>
      <c r="F11" s="5" t="n">
        <v>788</v>
      </c>
      <c r="G11" s="5" t="n">
        <v>3300</v>
      </c>
      <c r="H11" s="5" t="n">
        <v>2513</v>
      </c>
    </row>
    <row r="12">
      <c r="A12" s="4" t="inlineStr">
        <is>
          <t>Cognito</t>
        </is>
      </c>
      <c r="B12" s="6" t="n">
        <v>0</v>
      </c>
      <c r="C12" s="6" t="n">
        <v>2.5</v>
      </c>
      <c r="D12" s="6" t="n">
        <v>2.5</v>
      </c>
      <c r="E12" s="7" t="inlineStr">
        <is>
          <t>-</t>
        </is>
      </c>
      <c r="F12" s="6" t="n">
        <v>0</v>
      </c>
      <c r="G12" s="6" t="n">
        <v>375</v>
      </c>
      <c r="H12" s="6" t="n">
        <v>375</v>
      </c>
    </row>
    <row r="13">
      <c r="A13" s="4" t="inlineStr">
        <is>
          <t>その他</t>
        </is>
      </c>
      <c r="B13" s="5" t="n">
        <v>40</v>
      </c>
      <c r="C13" s="5" t="n">
        <v>201</v>
      </c>
      <c r="D13" s="5" t="n">
        <v>161</v>
      </c>
      <c r="E13" s="4" t="inlineStr">
        <is>
          <t>+403%</t>
        </is>
      </c>
      <c r="F13" s="5" t="n">
        <v>6000</v>
      </c>
      <c r="G13" s="5" t="n">
        <v>30150</v>
      </c>
      <c r="H13" s="5" t="n">
        <v>24150</v>
      </c>
    </row>
    <row r="14">
      <c r="A14" s="10" t="inlineStr">
        <is>
          <t>合計</t>
        </is>
      </c>
      <c r="B14" s="11" t="n">
        <v>90.40000000000001</v>
      </c>
      <c r="C14" s="11" t="n">
        <v>1105.5</v>
      </c>
      <c r="D14" s="11" t="n">
        <v>1015.1</v>
      </c>
      <c r="E14" s="10" t="inlineStr">
        <is>
          <t>+1122%</t>
        </is>
      </c>
      <c r="F14" s="11" t="n">
        <v>13560</v>
      </c>
      <c r="G14" s="11" t="n">
        <v>165825</v>
      </c>
      <c r="H14" s="11" t="n">
        <v>152265</v>
      </c>
    </row>
    <row r="18">
      <c r="A18" s="2" t="inlineStr">
        <is>
          <t>【機能・性能比較】</t>
        </is>
      </c>
    </row>
    <row r="19">
      <c r="A19" s="3" t="inlineStr">
        <is>
          <t>比較項目</t>
        </is>
      </c>
      <c r="B19" s="3" t="inlineStr">
        <is>
          <t>パターン1</t>
        </is>
      </c>
      <c r="C19" s="3" t="inlineStr">
        <is>
          <t>パターン2</t>
        </is>
      </c>
      <c r="D19" s="3" t="inlineStr">
        <is>
          <t>備考</t>
        </is>
      </c>
    </row>
    <row r="20">
      <c r="A20" s="4" t="inlineStr">
        <is>
          <t>構成</t>
        </is>
      </c>
      <c r="B20" s="4" t="inlineStr">
        <is>
          <t>Single-AZ</t>
        </is>
      </c>
      <c r="C20" s="4" t="inlineStr">
        <is>
          <t>Multi-AZ（2-3 AZ）</t>
        </is>
      </c>
      <c r="D20" s="4" t="inlineStr"/>
    </row>
    <row r="21">
      <c r="A21" s="4" t="inlineStr">
        <is>
          <t>可用性SLA</t>
        </is>
      </c>
      <c r="B21" s="7" t="inlineStr">
        <is>
          <t>約99%</t>
        </is>
      </c>
      <c r="C21" s="7" t="inlineStr">
        <is>
          <t>約99.9%</t>
        </is>
      </c>
      <c r="D21" s="7" t="inlineStr"/>
    </row>
    <row r="22">
      <c r="A22" s="4" t="inlineStr">
        <is>
          <t>RTO（復旧時間）</t>
        </is>
      </c>
      <c r="B22" s="4" t="inlineStr">
        <is>
          <t>4-8時間</t>
        </is>
      </c>
      <c r="C22" s="4" t="inlineStr">
        <is>
          <t>1-2時間</t>
        </is>
      </c>
      <c r="D22" s="4" t="inlineStr"/>
    </row>
    <row r="23">
      <c r="A23" s="4" t="inlineStr">
        <is>
          <t>RPO（復旧ポイント）</t>
        </is>
      </c>
      <c r="B23" s="7" t="inlineStr">
        <is>
          <t>24時間</t>
        </is>
      </c>
      <c r="C23" s="7" t="inlineStr">
        <is>
          <t>5分</t>
        </is>
      </c>
      <c r="D23" s="7" t="inlineStr"/>
    </row>
    <row r="24">
      <c r="A24" s="4" t="inlineStr">
        <is>
          <t>平均レスポンス</t>
        </is>
      </c>
      <c r="B24" s="4" t="inlineStr">
        <is>
          <t>2-5秒</t>
        </is>
      </c>
      <c r="C24" s="4" t="inlineStr">
        <is>
          <t>0.5-2秒</t>
        </is>
      </c>
      <c r="D24" s="4" t="inlineStr"/>
    </row>
    <row r="25">
      <c r="A25" s="4" t="inlineStr">
        <is>
          <t>ピーク時レスポンス</t>
        </is>
      </c>
      <c r="B25" s="7" t="inlineStr">
        <is>
          <t>5-10秒</t>
        </is>
      </c>
      <c r="C25" s="7" t="inlineStr">
        <is>
          <t>1-3秒</t>
        </is>
      </c>
      <c r="D25" s="7" t="inlineStr"/>
    </row>
    <row r="26">
      <c r="A26" s="4" t="inlineStr">
        <is>
          <t>同時接続数</t>
        </is>
      </c>
      <c r="B26" s="4" t="inlineStr">
        <is>
          <t>10-20ユーザー</t>
        </is>
      </c>
      <c r="C26" s="4" t="inlineStr">
        <is>
          <t>50+ユーザー</t>
        </is>
      </c>
      <c r="D26" s="4" t="inlineStr"/>
    </row>
    <row r="27">
      <c r="A27" s="4" t="inlineStr">
        <is>
          <t>基本検索</t>
        </is>
      </c>
      <c r="B27" s="7" t="inlineStr">
        <is>
          <t>✓</t>
        </is>
      </c>
      <c r="C27" s="7" t="inlineStr">
        <is>
          <t>✓</t>
        </is>
      </c>
      <c r="D27" s="7" t="inlineStr"/>
    </row>
    <row r="28">
      <c r="A28" s="4" t="inlineStr">
        <is>
          <t>全文検索</t>
        </is>
      </c>
      <c r="B28" s="4" t="inlineStr">
        <is>
          <t>✓（シンプル）</t>
        </is>
      </c>
      <c r="C28" s="4" t="inlineStr">
        <is>
          <t>✓（高度）</t>
        </is>
      </c>
      <c r="D28" s="4" t="inlineStr"/>
    </row>
    <row r="29">
      <c r="A29" s="4" t="inlineStr">
        <is>
          <t>画像類似検索</t>
        </is>
      </c>
      <c r="B29" s="7" t="inlineStr">
        <is>
          <t>×</t>
        </is>
      </c>
      <c r="C29" s="7" t="inlineStr">
        <is>
          <t>✓</t>
        </is>
      </c>
      <c r="D29" s="7" t="inlineStr"/>
    </row>
    <row r="30">
      <c r="A30" s="4" t="inlineStr">
        <is>
          <t>AI機能</t>
        </is>
      </c>
      <c r="B30" s="4" t="inlineStr">
        <is>
          <t>×</t>
        </is>
      </c>
      <c r="C30" s="4" t="inlineStr">
        <is>
          <t>✓</t>
        </is>
      </c>
      <c r="D30" s="4" t="inlineStr"/>
    </row>
    <row r="31">
      <c r="A31" s="4" t="inlineStr">
        <is>
          <t>リアルタイム通知</t>
        </is>
      </c>
      <c r="B31" s="7" t="inlineStr">
        <is>
          <t>×</t>
        </is>
      </c>
      <c r="C31" s="7" t="inlineStr">
        <is>
          <t>✓</t>
        </is>
      </c>
      <c r="D31" s="7" t="inlineStr"/>
    </row>
    <row r="32">
      <c r="A32" s="4" t="inlineStr">
        <is>
          <t>詳細ダッシュボード</t>
        </is>
      </c>
      <c r="B32" s="4" t="inlineStr">
        <is>
          <t>×</t>
        </is>
      </c>
      <c r="C32" s="4" t="inlineStr">
        <is>
          <t>✓</t>
        </is>
      </c>
      <c r="D32" s="4" t="inlineStr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25" customWidth="1" min="6" max="6"/>
  </cols>
  <sheetData>
    <row r="1" ht="30" customHeight="1">
      <c r="A1" s="1" t="inlineStr">
        <is>
          <t>コスト最適化提案</t>
        </is>
      </c>
    </row>
    <row r="3">
      <c r="A3" s="2" t="inlineStr">
        <is>
          <t>【Reserved Instances適用時のコスト削減】</t>
        </is>
      </c>
    </row>
    <row r="4">
      <c r="A4" s="3" t="inlineStr">
        <is>
          <t>項目</t>
        </is>
      </c>
      <c r="B4" s="3" t="inlineStr">
        <is>
          <t>通常料金</t>
        </is>
      </c>
      <c r="C4" s="3" t="inlineStr">
        <is>
          <t>RI適用後</t>
        </is>
      </c>
      <c r="D4" s="3" t="inlineStr">
        <is>
          <t>削減額</t>
        </is>
      </c>
      <c r="E4" s="3" t="inlineStr">
        <is>
          <t>削減率</t>
        </is>
      </c>
    </row>
    <row r="5">
      <c r="A5" s="4" t="inlineStr">
        <is>
          <t>パターン2年額（現状）</t>
        </is>
      </c>
      <c r="B5" s="5" t="n">
        <v>13266</v>
      </c>
      <c r="C5" s="5" t="n">
        <v>9300</v>
      </c>
      <c r="D5" s="5" t="n">
        <v>3966</v>
      </c>
      <c r="E5" s="4" t="inlineStr">
        <is>
          <t>-30%</t>
        </is>
      </c>
    </row>
    <row r="6">
      <c r="A6" s="4" t="inlineStr">
        <is>
          <t>RDS RI（1年前払い）</t>
        </is>
      </c>
      <c r="B6" s="6" t="n">
        <v>1440</v>
      </c>
      <c r="C6" s="6" t="n">
        <v>1008</v>
      </c>
      <c r="D6" s="6" t="n">
        <v>432</v>
      </c>
      <c r="E6" s="7" t="inlineStr">
        <is>
          <t>-30%</t>
        </is>
      </c>
    </row>
    <row r="7">
      <c r="A7" s="4" t="inlineStr">
        <is>
          <t>OpenSearch RI（1年前払い）</t>
        </is>
      </c>
      <c r="B7" s="5" t="n">
        <v>5400</v>
      </c>
      <c r="C7" s="5" t="n">
        <v>3780</v>
      </c>
      <c r="D7" s="5" t="n">
        <v>1620</v>
      </c>
      <c r="E7" s="4" t="inlineStr">
        <is>
          <t>-30%</t>
        </is>
      </c>
    </row>
    <row r="8">
      <c r="A8" s="4" t="inlineStr">
        <is>
          <t>ElastiCache RI</t>
        </is>
      </c>
      <c r="B8" s="6" t="n">
        <v>420</v>
      </c>
      <c r="C8" s="6" t="n">
        <v>294</v>
      </c>
      <c r="D8" s="6" t="n">
        <v>126</v>
      </c>
      <c r="E8" s="7" t="inlineStr">
        <is>
          <t>-30%</t>
        </is>
      </c>
    </row>
    <row r="11">
      <c r="A11" s="2" t="inlineStr">
        <is>
          <t>【段階的導入プラン】</t>
        </is>
      </c>
    </row>
    <row r="12">
      <c r="A12" s="3" t="inlineStr">
        <is>
          <t>フェーズ</t>
        </is>
      </c>
      <c r="B12" s="3" t="inlineStr">
        <is>
          <t>期間</t>
        </is>
      </c>
      <c r="C12" s="3" t="inlineStr">
        <is>
          <t>構成</t>
        </is>
      </c>
      <c r="D12" s="3" t="inlineStr">
        <is>
          <t>月額（USD）</t>
        </is>
      </c>
      <c r="E12" s="3" t="inlineStr">
        <is>
          <t>月額（JPY）</t>
        </is>
      </c>
      <c r="F12" s="3" t="inlineStr">
        <is>
          <t>備考</t>
        </is>
      </c>
    </row>
    <row r="13">
      <c r="A13" s="4" t="inlineStr">
        <is>
          <t>Phase 1</t>
        </is>
      </c>
      <c r="B13" s="4" t="inlineStr">
        <is>
          <t>初期3ヶ月</t>
        </is>
      </c>
      <c r="C13" s="4" t="inlineStr">
        <is>
          <t>パターン1</t>
        </is>
      </c>
      <c r="D13" s="8" t="n">
        <v>90</v>
      </c>
      <c r="E13" s="9" t="n">
        <v>13500</v>
      </c>
      <c r="F13" s="4" t="inlineStr">
        <is>
          <t>基本機能のみ</t>
        </is>
      </c>
    </row>
    <row r="14">
      <c r="A14" s="4" t="inlineStr">
        <is>
          <t>Phase 2-3</t>
        </is>
      </c>
      <c r="B14" s="7" t="inlineStr">
        <is>
          <t>4-7ヶ月</t>
        </is>
      </c>
      <c r="C14" s="7" t="inlineStr">
        <is>
          <t>ハイブリッド</t>
        </is>
      </c>
      <c r="D14" s="6" t="n">
        <v>180</v>
      </c>
      <c r="E14" s="6" t="n">
        <v>27000</v>
      </c>
      <c r="F14" s="7" t="inlineStr">
        <is>
          <t>RDS Multi-AZ化</t>
        </is>
      </c>
    </row>
    <row r="15">
      <c r="A15" s="4" t="inlineStr">
        <is>
          <t>Phase 4以降</t>
        </is>
      </c>
      <c r="B15" s="4" t="inlineStr">
        <is>
          <t>8ヶ月目〜</t>
        </is>
      </c>
      <c r="C15" s="4" t="inlineStr">
        <is>
          <t>パターン2</t>
        </is>
      </c>
      <c r="D15" s="5" t="n">
        <v>1105</v>
      </c>
      <c r="E15" s="5" t="n">
        <v>165750</v>
      </c>
      <c r="F15" s="4" t="inlineStr">
        <is>
          <t>フル機能</t>
        </is>
      </c>
    </row>
    <row r="18">
      <c r="A18" s="2" t="inlineStr">
        <is>
          <t>【その他の最適化手法】</t>
        </is>
      </c>
    </row>
    <row r="19">
      <c r="A19" s="3" t="inlineStr">
        <is>
          <t>施策</t>
        </is>
      </c>
      <c r="B19" s="3" t="inlineStr">
        <is>
          <t>削減効果</t>
        </is>
      </c>
      <c r="C19" s="3" t="inlineStr">
        <is>
          <t>削減額（月額）</t>
        </is>
      </c>
      <c r="D19" s="3" t="inlineStr">
        <is>
          <t>実施難易度</t>
        </is>
      </c>
    </row>
    <row r="20">
      <c r="A20" s="4" t="inlineStr">
        <is>
          <t>S3 Intelligent-Tiering</t>
        </is>
      </c>
      <c r="B20" s="4" t="inlineStr">
        <is>
          <t>20-30%</t>
        </is>
      </c>
      <c r="C20" s="4" t="inlineStr">
        <is>
          <t>$3-5</t>
        </is>
      </c>
      <c r="D20" s="4" t="inlineStr">
        <is>
          <t>低</t>
        </is>
      </c>
    </row>
    <row r="21">
      <c r="A21" s="4" t="inlineStr">
        <is>
          <t>Lambda SnapStart</t>
        </is>
      </c>
      <c r="B21" s="7" t="inlineStr">
        <is>
          <t>Provisioned Concurrency削減</t>
        </is>
      </c>
      <c r="C21" s="7" t="inlineStr">
        <is>
          <t>$30-40</t>
        </is>
      </c>
      <c r="D21" s="7" t="inlineStr">
        <is>
          <t>中</t>
        </is>
      </c>
    </row>
    <row r="22">
      <c r="A22" s="4" t="inlineStr">
        <is>
          <t>CloudWatch Logs → Athena</t>
        </is>
      </c>
      <c r="B22" s="4" t="inlineStr">
        <is>
          <t>50%</t>
        </is>
      </c>
      <c r="C22" s="4" t="inlineStr">
        <is>
          <t>$25</t>
        </is>
      </c>
      <c r="D22" s="4" t="inlineStr">
        <is>
          <t>中</t>
        </is>
      </c>
    </row>
    <row r="23">
      <c r="A23" s="4" t="inlineStr">
        <is>
          <t>Spot Instances（開発環境）</t>
        </is>
      </c>
      <c r="B23" s="7" t="inlineStr">
        <is>
          <t>70%</t>
        </is>
      </c>
      <c r="C23" s="7" t="inlineStr">
        <is>
          <t>$30-50</t>
        </is>
      </c>
      <c r="D23" s="7" t="inlineStr">
        <is>
          <t>低</t>
        </is>
      </c>
    </row>
    <row r="24">
      <c r="A24" s="4" t="inlineStr">
        <is>
          <t>Aurora Serverless v2検討</t>
        </is>
      </c>
      <c r="B24" s="4" t="inlineStr">
        <is>
          <t>30-40%</t>
        </is>
      </c>
      <c r="C24" s="4" t="inlineStr">
        <is>
          <t>$40-60</t>
        </is>
      </c>
      <c r="D24" s="4" t="inlineStr">
        <is>
          <t>高</t>
        </is>
      </c>
    </row>
    <row r="25">
      <c r="A25" s="4" t="inlineStr">
        <is>
          <t>Lambda予約済み同時実行数最適化</t>
        </is>
      </c>
      <c r="B25" s="7" t="inlineStr">
        <is>
          <t>20%</t>
        </is>
      </c>
      <c r="C25" s="7" t="inlineStr">
        <is>
          <t>$10-15</t>
        </is>
      </c>
      <c r="D25" s="7" t="inlineStr">
        <is>
          <t>中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2025-10-18T06:38:06Z</dcterms:created>
  <dcterms:modified xsi:type="dcterms:W3CDTF">2025-10-18T06:38:06Z</dcterms:modified>
</cp:coreProperties>
</file>